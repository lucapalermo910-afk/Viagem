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-me" sheetId="1" state="visible" r:id="rId3"/>
    <sheet name="Dias" sheetId="2" state="visible" r:id="rId4"/>
    <sheet name="Compromissos" sheetId="3" state="visible" r:id="rId5"/>
    <sheet name="Hospedagem" sheetId="4" state="visible" r:id="rId6"/>
    <sheet name="Transporte" sheetId="5" state="visible" r:id="rId7"/>
    <sheet name="Pendência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<sst xmlns="http://schemas.openxmlformats.org/spreadsheetml/2006/main" count="96" uniqueCount="74">
  <si>
    <t xml:space="preserve">Modelo de roteiro</t>
  </si>
  <si>
    <t xml:space="preserve">Preencha as abas Dias, Compromissos, Hospedagem e Transporte. O app importa este arquivo e também exporta para ele.</t>
  </si>
  <si>
    <t xml:space="preserve">Cores do cabeçalho</t>
  </si>
  <si>
    <t xml:space="preserve">Laranja: obrigatório. Cinza escuro: opcional. Cinza claro: automático (não preencha).</t>
  </si>
  <si>
    <t xml:space="preserve">Datas e horários</t>
  </si>
  <si>
    <t xml:space="preserve">Datas como 24/10/2026. Horários como 17:30, no horário local do lugar.</t>
  </si>
  <si>
    <t xml:space="preserve">Dias</t>
  </si>
  <si>
    <t xml:space="preserve">Opcional. Uma linha por dia, para informar a cidade e anotações. Exemplo: 24/10/2026 | Kanazawa | Jardim e bairro das gueixas | Levar guarda-chuva</t>
  </si>
  <si>
    <t xml:space="preserve">Compromissos</t>
  </si>
  <si>
    <t xml:space="preserve">Uma linha por atividade. Exemplo: 24/10/2026 | 12:30 | 60 | Restaurante | Sushi Exemplo | Rua Fictícia 1, Kanazawa | 11:30 | 14:00 | | 15 | Sim | ABC123 | Silva | 2 | Só dinheiro | 180,00 | Não</t>
  </si>
  <si>
    <t xml:space="preserve">Tipo</t>
  </si>
  <si>
    <t xml:space="preserve">Passeio, Restaurante, Ingresso (atração com entrada comprada), Compras ou Livre.</t>
  </si>
  <si>
    <t xml:space="preserve">Reserva</t>
  </si>
  <si>
    <t xml:space="preserve">Sim, Não, Não precisa ou A decidir. Restaurante e Ingresso sem resposta contam como pendência.</t>
  </si>
  <si>
    <t xml:space="preserve">Abre / Fecha</t>
  </si>
  <si>
    <t xml:space="preserve">Horário de funcionamento no dia da visita. Se o lugar não abre nesse dia, marque Sim em "Fechado no dia".</t>
  </si>
  <si>
    <t xml:space="preserve">Trajeto (min)</t>
  </si>
  <si>
    <t xml:space="preserve">Tempo para chegar a este compromisso. O app usa para calcular a hora de sair.</t>
  </si>
  <si>
    <t xml:space="preserve">Hospedagem</t>
  </si>
  <si>
    <t xml:space="preserve">Uma linha por hotel. Exemplo: Hotel Exemplo | Kanazawa | 23/10/2026 | 15:00 | 25/10/2026 | 11:00 | Rua Fictícia 2 | https://example.com | XYZ789 | 2.400,00 | Sim</t>
  </si>
  <si>
    <t xml:space="preserve">Transporte</t>
  </si>
  <si>
    <t xml:space="preserve">Uma linha por trecho. Exemplo: 23/10/2026 | Trem | Tokyo | Kanazawa | 09:20 | 12:05 | Kagayaki 505 | 7A | | Plataforma 21 | 650,00 | Sim</t>
  </si>
  <si>
    <t xml:space="preserve">Pendências</t>
  </si>
  <si>
    <t xml:space="preserve">Contagens e custos calculados sozinhos. Não edite.</t>
  </si>
  <si>
    <t xml:space="preserve">Limite</t>
  </si>
  <si>
    <t xml:space="preserve">As fórmulas e listas cobrem até a linha 301 de cada aba.</t>
  </si>
  <si>
    <t xml:space="preserve">Data</t>
  </si>
  <si>
    <t xml:space="preserve">Cidade</t>
  </si>
  <si>
    <t xml:space="preserve">Programa</t>
  </si>
  <si>
    <t xml:space="preserve">Notas</t>
  </si>
  <si>
    <t xml:space="preserve">Compromissos (automático)</t>
  </si>
  <si>
    <t xml:space="preserve">Pendência (automática)</t>
  </si>
  <si>
    <t xml:space="preserve">Início</t>
  </si>
  <si>
    <t xml:space="preserve">Duração (min)</t>
  </si>
  <si>
    <t xml:space="preserve">Nome</t>
  </si>
  <si>
    <t xml:space="preserve">Local</t>
  </si>
  <si>
    <t xml:space="preserve">Abre</t>
  </si>
  <si>
    <t xml:space="preserve">Fecha</t>
  </si>
  <si>
    <t xml:space="preserve">Fechado no dia</t>
  </si>
  <si>
    <t xml:space="preserve">Código</t>
  </si>
  <si>
    <t xml:space="preserve">Nome na reserva</t>
  </si>
  <si>
    <t xml:space="preserve">Pessoas</t>
  </si>
  <si>
    <t xml:space="preserve">Pagamento</t>
  </si>
  <si>
    <t xml:space="preserve">Custo</t>
  </si>
  <si>
    <t xml:space="preserve">Pago</t>
  </si>
  <si>
    <t xml:space="preserve">Observações</t>
  </si>
  <si>
    <t xml:space="preserve">Hotel</t>
  </si>
  <si>
    <t xml:space="preserve">Check-in</t>
  </si>
  <si>
    <t xml:space="preserve">Hora check-in</t>
  </si>
  <si>
    <t xml:space="preserve">Check-out</t>
  </si>
  <si>
    <t xml:space="preserve">Hora check-out</t>
  </si>
  <si>
    <t xml:space="preserve">Endereço</t>
  </si>
  <si>
    <t xml:space="preserve">Link</t>
  </si>
  <si>
    <t xml:space="preserve">Valor total</t>
  </si>
  <si>
    <t xml:space="preserve">De</t>
  </si>
  <si>
    <t xml:space="preserve">Para</t>
  </si>
  <si>
    <t xml:space="preserve">Partida</t>
  </si>
  <si>
    <t xml:space="preserve">Chegada</t>
  </si>
  <si>
    <t xml:space="preserve">Número</t>
  </si>
  <si>
    <t xml:space="preserve">Assento</t>
  </si>
  <si>
    <t xml:space="preserve">Terminal</t>
  </si>
  <si>
    <t xml:space="preserve">Pendências (contagem automática)</t>
  </si>
  <si>
    <t xml:space="preserve">Restaurantes e ingressos com reserva a decidir</t>
  </si>
  <si>
    <t xml:space="preserve">Ingressos não comprados</t>
  </si>
  <si>
    <t xml:space="preserve">Reservas sem código</t>
  </si>
  <si>
    <t xml:space="preserve">Lugares fechados no dia da visita</t>
  </si>
  <si>
    <t xml:space="preserve">Compromissos fora do horário de funcionamento</t>
  </si>
  <si>
    <t xml:space="preserve">Hospedagens com pendência</t>
  </si>
  <si>
    <t xml:space="preserve">Transportes com pendência</t>
  </si>
  <si>
    <t xml:space="preserve">Dias sem programa</t>
  </si>
  <si>
    <t xml:space="preserve">Total de pendências</t>
  </si>
  <si>
    <t xml:space="preserve">Custos (na moeda em que você preencheu)</t>
  </si>
  <si>
    <t xml:space="preserve">Total</t>
  </si>
  <si>
    <t xml:space="preserve">A pagar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</si>
</sst>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/mm/yyyy"/>
    <numFmt numFmtId="166" formatCode="hh:mm"/>
    <numFmt numFmtId="167" formatCode="0"/>
    <numFmt numFmtId="168" formatCode="#,##0.00"/>
    <numFmt numFmtId="169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E4572E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2A2420"/>
      <name val="Arial"/>
      <family val="0"/>
      <charset val="1"/>
    </font>
    <font>
      <sz val="11"/>
      <color rgb="FF000000"/>
      <name val="Arial"/>
      <family val="0"/>
      <charset val="1"/>
    </font>
    <font>
      <i val="true"/>
      <sz val="11"/>
      <color rgb="FF8A5A00"/>
      <name val="Arial"/>
      <family val="0"/>
      <charset val="1"/>
    </font>
    <font>
      <b val="true"/>
      <sz val="13"/>
      <color rgb="FFE4572E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6F665D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4572E"/>
        <bgColor rgb="FFFF8080"/>
      </patternFill>
    </fill>
    <fill>
      <patternFill patternType="solid">
        <fgColor rgb="FF6F665D"/>
        <bgColor rgb="FF808080"/>
      </patternFill>
    </fill>
    <fill>
      <patternFill patternType="solid">
        <fgColor rgb="FFD9D2C7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5A00"/>
      <rgbColor rgb="FF800080"/>
      <rgbColor rgb="FF008080"/>
      <rgbColor rgb="FFD9D2C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4572E"/>
      <rgbColor rgb="FF6F665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A242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0"/>
  </cols>
  <sheetData>
    <row r="1" customFormat="false" ht="26.85" hidden="false" customHeight="false" outlineLevel="0" collapsed="false">
      <c r="A1" s="1" t="s">
        <v>0</v>
      </c>
      <c r="B1" s="2" t="s">
        <v>1</v>
      </c>
    </row>
    <row r="2" customFormat="false" ht="15" hidden="false" customHeight="false" outlineLevel="0" collapsed="false">
      <c r="A2" s="3" t="s">
        <v>2</v>
      </c>
      <c r="B2" s="2" t="s">
        <v>3</v>
      </c>
    </row>
    <row r="3" customFormat="false" ht="15" hidden="false" customHeight="false" outlineLevel="0" collapsed="false">
      <c r="A3" s="3" t="s">
        <v>4</v>
      </c>
      <c r="B3" s="2" t="s">
        <v>5</v>
      </c>
    </row>
    <row r="4" customFormat="false" ht="26.85" hidden="false" customHeight="false" outlineLevel="0" collapsed="false">
      <c r="A4" s="3" t="s">
        <v>6</v>
      </c>
      <c r="B4" s="2" t="s">
        <v>7</v>
      </c>
    </row>
    <row r="5" customFormat="false" ht="26.85" hidden="false" customHeight="false" outlineLevel="0" collapsed="false">
      <c r="A5" s="3" t="s">
        <v>8</v>
      </c>
      <c r="B5" s="2" t="s">
        <v>9</v>
      </c>
    </row>
    <row r="6" customFormat="false" ht="15" hidden="false" customHeight="false" outlineLevel="0" collapsed="false">
      <c r="A6" s="3" t="s">
        <v>10</v>
      </c>
      <c r="B6" s="2" t="s">
        <v>11</v>
      </c>
    </row>
    <row r="7" customFormat="false" ht="15" hidden="false" customHeight="false" outlineLevel="0" collapsed="false">
      <c r="A7" s="3" t="s">
        <v>12</v>
      </c>
      <c r="B7" s="2" t="s">
        <v>13</v>
      </c>
    </row>
    <row r="8" customFormat="false" ht="26.85" hidden="false" customHeight="false" outlineLevel="0" collapsed="false">
      <c r="A8" s="3" t="s">
        <v>14</v>
      </c>
      <c r="B8" s="2" t="s">
        <v>15</v>
      </c>
    </row>
    <row r="9" customFormat="false" ht="15" hidden="false" customHeight="false" outlineLevel="0" collapsed="false">
      <c r="A9" s="3" t="s">
        <v>16</v>
      </c>
      <c r="B9" s="2" t="s">
        <v>17</v>
      </c>
    </row>
    <row r="10" customFormat="false" ht="26.85" hidden="false" customHeight="false" outlineLevel="0" collapsed="false">
      <c r="A10" s="3" t="s">
        <v>18</v>
      </c>
      <c r="B10" s="2" t="s">
        <v>19</v>
      </c>
    </row>
    <row r="11" customFormat="false" ht="26.85" hidden="false" customHeight="false" outlineLevel="0" collapsed="false">
      <c r="A11" s="3" t="s">
        <v>20</v>
      </c>
      <c r="B11" s="2" t="s">
        <v>21</v>
      </c>
    </row>
    <row r="12" customFormat="false" ht="15" hidden="false" customHeight="false" outlineLevel="0" collapsed="false">
      <c r="A12" s="3" t="s">
        <v>22</v>
      </c>
      <c r="B12" s="2" t="s">
        <v>23</v>
      </c>
    </row>
    <row r="13" customFormat="false" ht="15" hidden="false" customHeight="false" outlineLevel="0" collapsed="false">
      <c r="A13" s="3" t="s">
        <v>24</v>
      </c>
      <c r="B13" s="2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8"/>
    <col collapsed="false" customWidth="true" hidden="false" outlineLevel="0" max="4" min="3" style="0" width="48"/>
    <col collapsed="false" customWidth="true" hidden="false" outlineLevel="0" max="5" min="5" style="0" width="16"/>
    <col collapsed="false" customWidth="true" hidden="false" outlineLevel="0" max="6" min="6" style="0" width="26"/>
  </cols>
  <sheetData>
    <row r="1" customFormat="false" ht="31.5" hidden="false" customHeight="true" outlineLevel="0" collapsed="false">
      <c r="A1" s="4" t="s">
        <v>26</v>
      </c>
      <c r="B1" s="5" t="s">
        <v>27</v>
      </c>
      <c r="C1" s="5" t="s">
        <v>28</v>
      </c>
      <c r="D1" s="5" t="s">
        <v>29</v>
      </c>
      <c r="E1" s="6" t="s">
        <v>30</v>
      </c>
      <c r="F1" s="6" t="s">
        <v>31</v>
      </c>
    </row>
    <row r="2" customFormat="false" ht="15" hidden="false" customHeight="false" outlineLevel="0" collapsed="false">
      <c r="A2" s="7"/>
      <c r="B2" s="8"/>
      <c r="C2" s="8"/>
      <c r="D2" s="8"/>
      <c r="E2" s="9" t="str">
        <f aca="false">IF(A2="","",COUNTIF(Compromissos!A:A,A2)+COUNTIF(Transporte!A:A,A2))</f>
        <v/>
      </c>
      <c r="F2" s="9" t="str">
        <f aca="false">IF(A2="","",IF(AND(E2=0,C2=""),"Dia sem programa",""))</f>
        <v/>
      </c>
    </row>
    <row r="3" customFormat="false" ht="15" hidden="false" customHeight="false" outlineLevel="0" collapsed="false">
      <c r="A3" s="7"/>
      <c r="B3" s="8"/>
      <c r="C3" s="8"/>
      <c r="D3" s="8"/>
      <c r="E3" s="9" t="str">
        <f aca="false">IF(A3="","",COUNTIF(Compromissos!A:A,A3)+COUNTIF(Transporte!A:A,A3))</f>
        <v/>
      </c>
      <c r="F3" s="9" t="str">
        <f aca="false">IF(A3="","",IF(AND(E3=0,C3=""),"Dia sem programa",""))</f>
        <v/>
      </c>
    </row>
    <row r="4" customFormat="false" ht="15" hidden="false" customHeight="false" outlineLevel="0" collapsed="false">
      <c r="A4" s="7"/>
      <c r="B4" s="8"/>
      <c r="C4" s="8"/>
      <c r="D4" s="8"/>
      <c r="E4" s="9" t="str">
        <f aca="false">IF(A4="","",COUNTIF(Compromissos!A:A,A4)+COUNTIF(Transporte!A:A,A4))</f>
        <v/>
      </c>
      <c r="F4" s="9" t="str">
        <f aca="false">IF(A4="","",IF(AND(E4=0,C4=""),"Dia sem programa",""))</f>
        <v/>
      </c>
    </row>
    <row r="5" customFormat="false" ht="15" hidden="false" customHeight="false" outlineLevel="0" collapsed="false">
      <c r="A5" s="7"/>
      <c r="B5" s="8"/>
      <c r="C5" s="8"/>
      <c r="D5" s="8"/>
      <c r="E5" s="9" t="str">
        <f aca="false">IF(A5="","",COUNTIF(Compromissos!A:A,A5)+COUNTIF(Transporte!A:A,A5))</f>
        <v/>
      </c>
      <c r="F5" s="9" t="str">
        <f aca="false">IF(A5="","",IF(AND(E5=0,C5=""),"Dia sem programa",""))</f>
        <v/>
      </c>
    </row>
    <row r="6" customFormat="false" ht="15" hidden="false" customHeight="false" outlineLevel="0" collapsed="false">
      <c r="A6" s="7"/>
      <c r="B6" s="8"/>
      <c r="C6" s="8"/>
      <c r="D6" s="8"/>
      <c r="E6" s="9" t="str">
        <f aca="false">IF(A6="","",COUNTIF(Compromissos!A:A,A6)+COUNTIF(Transporte!A:A,A6))</f>
        <v/>
      </c>
      <c r="F6" s="9" t="str">
        <f aca="false">IF(A6="","",IF(AND(E6=0,C6=""),"Dia sem programa",""))</f>
        <v/>
      </c>
    </row>
    <row r="7" customFormat="false" ht="15" hidden="false" customHeight="false" outlineLevel="0" collapsed="false">
      <c r="A7" s="7"/>
      <c r="B7" s="8"/>
      <c r="C7" s="8"/>
      <c r="D7" s="8"/>
      <c r="E7" s="9" t="str">
        <f aca="false">IF(A7="","",COUNTIF(Compromissos!A:A,A7)+COUNTIF(Transporte!A:A,A7))</f>
        <v/>
      </c>
      <c r="F7" s="9" t="str">
        <f aca="false">IF(A7="","",IF(AND(E7=0,C7=""),"Dia sem programa",""))</f>
        <v/>
      </c>
    </row>
    <row r="8" customFormat="false" ht="15" hidden="false" customHeight="false" outlineLevel="0" collapsed="false">
      <c r="A8" s="7"/>
      <c r="B8" s="8"/>
      <c r="C8" s="8"/>
      <c r="D8" s="8"/>
      <c r="E8" s="9" t="str">
        <f aca="false">IF(A8="","",COUNTIF(Compromissos!A:A,A8)+COUNTIF(Transporte!A:A,A8))</f>
        <v/>
      </c>
      <c r="F8" s="9" t="str">
        <f aca="false">IF(A8="","",IF(AND(E8=0,C8=""),"Dia sem programa",""))</f>
        <v/>
      </c>
    </row>
    <row r="9" customFormat="false" ht="15" hidden="false" customHeight="false" outlineLevel="0" collapsed="false">
      <c r="A9" s="7"/>
      <c r="B9" s="8"/>
      <c r="C9" s="8"/>
      <c r="D9" s="8"/>
      <c r="E9" s="9" t="str">
        <f aca="false">IF(A9="","",COUNTIF(Compromissos!A:A,A9)+COUNTIF(Transporte!A:A,A9))</f>
        <v/>
      </c>
      <c r="F9" s="9" t="str">
        <f aca="false">IF(A9="","",IF(AND(E9=0,C9=""),"Dia sem programa",""))</f>
        <v/>
      </c>
    </row>
    <row r="10" customFormat="false" ht="15" hidden="false" customHeight="false" outlineLevel="0" collapsed="false">
      <c r="A10" s="7"/>
      <c r="B10" s="8"/>
      <c r="C10" s="8"/>
      <c r="D10" s="8"/>
      <c r="E10" s="9" t="str">
        <f aca="false">IF(A10="","",COUNTIF(Compromissos!A:A,A10)+COUNTIF(Transporte!A:A,A10))</f>
        <v/>
      </c>
      <c r="F10" s="9" t="str">
        <f aca="false">IF(A10="","",IF(AND(E10=0,C10=""),"Dia sem programa",""))</f>
        <v/>
      </c>
    </row>
    <row r="11" customFormat="false" ht="15" hidden="false" customHeight="false" outlineLevel="0" collapsed="false">
      <c r="A11" s="7"/>
      <c r="B11" s="8"/>
      <c r="C11" s="8"/>
      <c r="D11" s="8"/>
      <c r="E11" s="9" t="str">
        <f aca="false">IF(A11="","",COUNTIF(Compromissos!A:A,A11)+COUNTIF(Transporte!A:A,A11))</f>
        <v/>
      </c>
      <c r="F11" s="9" t="str">
        <f aca="false">IF(A11="","",IF(AND(E11=0,C11=""),"Dia sem programa",""))</f>
        <v/>
      </c>
    </row>
    <row r="12" customFormat="false" ht="15" hidden="false" customHeight="false" outlineLevel="0" collapsed="false">
      <c r="A12" s="7"/>
      <c r="B12" s="8"/>
      <c r="C12" s="8"/>
      <c r="D12" s="8"/>
      <c r="E12" s="9" t="str">
        <f aca="false">IF(A12="","",COUNTIF(Compromissos!A:A,A12)+COUNTIF(Transporte!A:A,A12))</f>
        <v/>
      </c>
      <c r="F12" s="9" t="str">
        <f aca="false">IF(A12="","",IF(AND(E12=0,C12=""),"Dia sem programa",""))</f>
        <v/>
      </c>
    </row>
    <row r="13" customFormat="false" ht="15" hidden="false" customHeight="false" outlineLevel="0" collapsed="false">
      <c r="A13" s="7"/>
      <c r="B13" s="8"/>
      <c r="C13" s="8"/>
      <c r="D13" s="8"/>
      <c r="E13" s="9" t="str">
        <f aca="false">IF(A13="","",COUNTIF(Compromissos!A:A,A13)+COUNTIF(Transporte!A:A,A13))</f>
        <v/>
      </c>
      <c r="F13" s="9" t="str">
        <f aca="false">IF(A13="","",IF(AND(E13=0,C13=""),"Dia sem programa",""))</f>
        <v/>
      </c>
    </row>
    <row r="14" customFormat="false" ht="15" hidden="false" customHeight="false" outlineLevel="0" collapsed="false">
      <c r="A14" s="7"/>
      <c r="B14" s="8"/>
      <c r="C14" s="8"/>
      <c r="D14" s="8"/>
      <c r="E14" s="9" t="str">
        <f aca="false">IF(A14="","",COUNTIF(Compromissos!A:A,A14)+COUNTIF(Transporte!A:A,A14))</f>
        <v/>
      </c>
      <c r="F14" s="9" t="str">
        <f aca="false">IF(A14="","",IF(AND(E14=0,C14=""),"Dia sem programa",""))</f>
        <v/>
      </c>
    </row>
    <row r="15" customFormat="false" ht="15" hidden="false" customHeight="false" outlineLevel="0" collapsed="false">
      <c r="A15" s="7"/>
      <c r="B15" s="8"/>
      <c r="C15" s="8"/>
      <c r="D15" s="8"/>
      <c r="E15" s="9" t="str">
        <f aca="false">IF(A15="","",COUNTIF(Compromissos!A:A,A15)+COUNTIF(Transporte!A:A,A15))</f>
        <v/>
      </c>
      <c r="F15" s="9" t="str">
        <f aca="false">IF(A15="","",IF(AND(E15=0,C15=""),"Dia sem programa",""))</f>
        <v/>
      </c>
    </row>
    <row r="16" customFormat="false" ht="15" hidden="false" customHeight="false" outlineLevel="0" collapsed="false">
      <c r="A16" s="7"/>
      <c r="B16" s="8"/>
      <c r="C16" s="8"/>
      <c r="D16" s="8"/>
      <c r="E16" s="9" t="str">
        <f aca="false">IF(A16="","",COUNTIF(Compromissos!A:A,A16)+COUNTIF(Transporte!A:A,A16))</f>
        <v/>
      </c>
      <c r="F16" s="9" t="str">
        <f aca="false">IF(A16="","",IF(AND(E16=0,C16=""),"Dia sem programa",""))</f>
        <v/>
      </c>
    </row>
    <row r="17" customFormat="false" ht="15" hidden="false" customHeight="false" outlineLevel="0" collapsed="false">
      <c r="A17" s="7"/>
      <c r="B17" s="8"/>
      <c r="C17" s="8"/>
      <c r="D17" s="8"/>
      <c r="E17" s="9" t="str">
        <f aca="false">IF(A17="","",COUNTIF(Compromissos!A:A,A17)+COUNTIF(Transporte!A:A,A17))</f>
        <v/>
      </c>
      <c r="F17" s="9" t="str">
        <f aca="false">IF(A17="","",IF(AND(E17=0,C17=""),"Dia sem programa",""))</f>
        <v/>
      </c>
    </row>
    <row r="18" customFormat="false" ht="15" hidden="false" customHeight="false" outlineLevel="0" collapsed="false">
      <c r="A18" s="7"/>
      <c r="B18" s="8"/>
      <c r="C18" s="8"/>
      <c r="D18" s="8"/>
      <c r="E18" s="9" t="str">
        <f aca="false">IF(A18="","",COUNTIF(Compromissos!A:A,A18)+COUNTIF(Transporte!A:A,A18))</f>
        <v/>
      </c>
      <c r="F18" s="9" t="str">
        <f aca="false">IF(A18="","",IF(AND(E18=0,C18=""),"Dia sem programa",""))</f>
        <v/>
      </c>
    </row>
    <row r="19" customFormat="false" ht="15" hidden="false" customHeight="false" outlineLevel="0" collapsed="false">
      <c r="A19" s="7"/>
      <c r="B19" s="8"/>
      <c r="C19" s="8"/>
      <c r="D19" s="8"/>
      <c r="E19" s="9" t="str">
        <f aca="false">IF(A19="","",COUNTIF(Compromissos!A:A,A19)+COUNTIF(Transporte!A:A,A19))</f>
        <v/>
      </c>
      <c r="F19" s="9" t="str">
        <f aca="false">IF(A19="","",IF(AND(E19=0,C19=""),"Dia sem programa",""))</f>
        <v/>
      </c>
    </row>
    <row r="20" customFormat="false" ht="15" hidden="false" customHeight="false" outlineLevel="0" collapsed="false">
      <c r="A20" s="7"/>
      <c r="B20" s="8"/>
      <c r="C20" s="8"/>
      <c r="D20" s="8"/>
      <c r="E20" s="9" t="str">
        <f aca="false">IF(A20="","",COUNTIF(Compromissos!A:A,A20)+COUNTIF(Transporte!A:A,A20))</f>
        <v/>
      </c>
      <c r="F20" s="9" t="str">
        <f aca="false">IF(A20="","",IF(AND(E20=0,C20=""),"Dia sem programa",""))</f>
        <v/>
      </c>
    </row>
    <row r="21" customFormat="false" ht="15" hidden="false" customHeight="false" outlineLevel="0" collapsed="false">
      <c r="A21" s="7"/>
      <c r="B21" s="8"/>
      <c r="C21" s="8"/>
      <c r="D21" s="8"/>
      <c r="E21" s="9" t="str">
        <f aca="false">IF(A21="","",COUNTIF(Compromissos!A:A,A21)+COUNTIF(Transporte!A:A,A21))</f>
        <v/>
      </c>
      <c r="F21" s="9" t="str">
        <f aca="false">IF(A21="","",IF(AND(E21=0,C21=""),"Dia sem programa",""))</f>
        <v/>
      </c>
    </row>
    <row r="22" customFormat="false" ht="15" hidden="false" customHeight="false" outlineLevel="0" collapsed="false">
      <c r="A22" s="7"/>
      <c r="B22" s="8"/>
      <c r="C22" s="8"/>
      <c r="D22" s="8"/>
      <c r="E22" s="9" t="str">
        <f aca="false">IF(A22="","",COUNTIF(Compromissos!A:A,A22)+COUNTIF(Transporte!A:A,A22))</f>
        <v/>
      </c>
      <c r="F22" s="9" t="str">
        <f aca="false">IF(A22="","",IF(AND(E22=0,C22=""),"Dia sem programa",""))</f>
        <v/>
      </c>
    </row>
    <row r="23" customFormat="false" ht="15" hidden="false" customHeight="false" outlineLevel="0" collapsed="false">
      <c r="A23" s="7"/>
      <c r="B23" s="8"/>
      <c r="C23" s="8"/>
      <c r="D23" s="8"/>
      <c r="E23" s="9" t="str">
        <f aca="false">IF(A23="","",COUNTIF(Compromissos!A:A,A23)+COUNTIF(Transporte!A:A,A23))</f>
        <v/>
      </c>
      <c r="F23" s="9" t="str">
        <f aca="false">IF(A23="","",IF(AND(E23=0,C23=""),"Dia sem programa",""))</f>
        <v/>
      </c>
    </row>
    <row r="24" customFormat="false" ht="15" hidden="false" customHeight="false" outlineLevel="0" collapsed="false">
      <c r="A24" s="7"/>
      <c r="B24" s="8"/>
      <c r="C24" s="8"/>
      <c r="D24" s="8"/>
      <c r="E24" s="9" t="str">
        <f aca="false">IF(A24="","",COUNTIF(Compromissos!A:A,A24)+COUNTIF(Transporte!A:A,A24))</f>
        <v/>
      </c>
      <c r="F24" s="9" t="str">
        <f aca="false">IF(A24="","",IF(AND(E24=0,C24=""),"Dia sem programa",""))</f>
        <v/>
      </c>
    </row>
    <row r="25" customFormat="false" ht="15" hidden="false" customHeight="false" outlineLevel="0" collapsed="false">
      <c r="A25" s="7"/>
      <c r="B25" s="8"/>
      <c r="C25" s="8"/>
      <c r="D25" s="8"/>
      <c r="E25" s="9" t="str">
        <f aca="false">IF(A25="","",COUNTIF(Compromissos!A:A,A25)+COUNTIF(Transporte!A:A,A25))</f>
        <v/>
      </c>
      <c r="F25" s="9" t="str">
        <f aca="false">IF(A25="","",IF(AND(E25=0,C25=""),"Dia sem programa",""))</f>
        <v/>
      </c>
    </row>
    <row r="26" customFormat="false" ht="15" hidden="false" customHeight="false" outlineLevel="0" collapsed="false">
      <c r="A26" s="7"/>
      <c r="B26" s="8"/>
      <c r="C26" s="8"/>
      <c r="D26" s="8"/>
      <c r="E26" s="9" t="str">
        <f aca="false">IF(A26="","",COUNTIF(Compromissos!A:A,A26)+COUNTIF(Transporte!A:A,A26))</f>
        <v/>
      </c>
      <c r="F26" s="9" t="str">
        <f aca="false">IF(A26="","",IF(AND(E26=0,C26=""),"Dia sem programa",""))</f>
        <v/>
      </c>
    </row>
    <row r="27" customFormat="false" ht="15" hidden="false" customHeight="false" outlineLevel="0" collapsed="false">
      <c r="A27" s="7"/>
      <c r="B27" s="8"/>
      <c r="C27" s="8"/>
      <c r="D27" s="8"/>
      <c r="E27" s="9" t="str">
        <f aca="false">IF(A27="","",COUNTIF(Compromissos!A:A,A27)+COUNTIF(Transporte!A:A,A27))</f>
        <v/>
      </c>
      <c r="F27" s="9" t="str">
        <f aca="false">IF(A27="","",IF(AND(E27=0,C27=""),"Dia sem programa",""))</f>
        <v/>
      </c>
    </row>
    <row r="28" customFormat="false" ht="15" hidden="false" customHeight="false" outlineLevel="0" collapsed="false">
      <c r="A28" s="7"/>
      <c r="B28" s="8"/>
      <c r="C28" s="8"/>
      <c r="D28" s="8"/>
      <c r="E28" s="9" t="str">
        <f aca="false">IF(A28="","",COUNTIF(Compromissos!A:A,A28)+COUNTIF(Transporte!A:A,A28))</f>
        <v/>
      </c>
      <c r="F28" s="9" t="str">
        <f aca="false">IF(A28="","",IF(AND(E28=0,C28=""),"Dia sem programa",""))</f>
        <v/>
      </c>
    </row>
    <row r="29" customFormat="false" ht="15" hidden="false" customHeight="false" outlineLevel="0" collapsed="false">
      <c r="A29" s="7"/>
      <c r="B29" s="8"/>
      <c r="C29" s="8"/>
      <c r="D29" s="8"/>
      <c r="E29" s="9" t="str">
        <f aca="false">IF(A29="","",COUNTIF(Compromissos!A:A,A29)+COUNTIF(Transporte!A:A,A29))</f>
        <v/>
      </c>
      <c r="F29" s="9" t="str">
        <f aca="false">IF(A29="","",IF(AND(E29=0,C29=""),"Dia sem programa",""))</f>
        <v/>
      </c>
    </row>
    <row r="30" customFormat="false" ht="15" hidden="false" customHeight="false" outlineLevel="0" collapsed="false">
      <c r="A30" s="7"/>
      <c r="B30" s="8"/>
      <c r="C30" s="8"/>
      <c r="D30" s="8"/>
      <c r="E30" s="9" t="str">
        <f aca="false">IF(A30="","",COUNTIF(Compromissos!A:A,A30)+COUNTIF(Transporte!A:A,A30))</f>
        <v/>
      </c>
      <c r="F30" s="9" t="str">
        <f aca="false">IF(A30="","",IF(AND(E30=0,C30=""),"Dia sem programa",""))</f>
        <v/>
      </c>
    </row>
    <row r="31" customFormat="false" ht="15" hidden="false" customHeight="false" outlineLevel="0" collapsed="false">
      <c r="A31" s="7"/>
      <c r="B31" s="8"/>
      <c r="C31" s="8"/>
      <c r="D31" s="8"/>
      <c r="E31" s="9" t="str">
        <f aca="false">IF(A31="","",COUNTIF(Compromissos!A:A,A31)+COUNTIF(Transporte!A:A,A31))</f>
        <v/>
      </c>
      <c r="F31" s="9" t="str">
        <f aca="false">IF(A31="","",IF(AND(E31=0,C31=""),"Dia sem programa",""))</f>
        <v/>
      </c>
    </row>
    <row r="32" customFormat="false" ht="15" hidden="false" customHeight="false" outlineLevel="0" collapsed="false">
      <c r="A32" s="7"/>
      <c r="B32" s="8"/>
      <c r="C32" s="8"/>
      <c r="D32" s="8"/>
      <c r="E32" s="9" t="str">
        <f aca="false">IF(A32="","",COUNTIF(Compromissos!A:A,A32)+COUNTIF(Transporte!A:A,A32))</f>
        <v/>
      </c>
      <c r="F32" s="9" t="str">
        <f aca="false">IF(A32="","",IF(AND(E32=0,C32=""),"Dia sem programa",""))</f>
        <v/>
      </c>
    </row>
    <row r="33" customFormat="false" ht="15" hidden="false" customHeight="false" outlineLevel="0" collapsed="false">
      <c r="A33" s="7"/>
      <c r="B33" s="8"/>
      <c r="C33" s="8"/>
      <c r="D33" s="8"/>
      <c r="E33" s="9" t="str">
        <f aca="false">IF(A33="","",COUNTIF(Compromissos!A:A,A33)+COUNTIF(Transporte!A:A,A33))</f>
        <v/>
      </c>
      <c r="F33" s="9" t="str">
        <f aca="false">IF(A33="","",IF(AND(E33=0,C33=""),"Dia sem programa",""))</f>
        <v/>
      </c>
    </row>
    <row r="34" customFormat="false" ht="15" hidden="false" customHeight="false" outlineLevel="0" collapsed="false">
      <c r="A34" s="7"/>
      <c r="B34" s="8"/>
      <c r="C34" s="8"/>
      <c r="D34" s="8"/>
      <c r="E34" s="9" t="str">
        <f aca="false">IF(A34="","",COUNTIF(Compromissos!A:A,A34)+COUNTIF(Transporte!A:A,A34))</f>
        <v/>
      </c>
      <c r="F34" s="9" t="str">
        <f aca="false">IF(A34="","",IF(AND(E34=0,C34=""),"Dia sem programa",""))</f>
        <v/>
      </c>
    </row>
    <row r="35" customFormat="false" ht="15" hidden="false" customHeight="false" outlineLevel="0" collapsed="false">
      <c r="A35" s="7"/>
      <c r="B35" s="8"/>
      <c r="C35" s="8"/>
      <c r="D35" s="8"/>
      <c r="E35" s="9" t="str">
        <f aca="false">IF(A35="","",COUNTIF(Compromissos!A:A,A35)+COUNTIF(Transporte!A:A,A35))</f>
        <v/>
      </c>
      <c r="F35" s="9" t="str">
        <f aca="false">IF(A35="","",IF(AND(E35=0,C35=""),"Dia sem programa",""))</f>
        <v/>
      </c>
    </row>
    <row r="36" customFormat="false" ht="15" hidden="false" customHeight="false" outlineLevel="0" collapsed="false">
      <c r="A36" s="7"/>
      <c r="B36" s="8"/>
      <c r="C36" s="8"/>
      <c r="D36" s="8"/>
      <c r="E36" s="9" t="str">
        <f aca="false">IF(A36="","",COUNTIF(Compromissos!A:A,A36)+COUNTIF(Transporte!A:A,A36))</f>
        <v/>
      </c>
      <c r="F36" s="9" t="str">
        <f aca="false">IF(A36="","",IF(AND(E36=0,C36=""),"Dia sem programa",""))</f>
        <v/>
      </c>
    </row>
    <row r="37" customFormat="false" ht="15" hidden="false" customHeight="false" outlineLevel="0" collapsed="false">
      <c r="A37" s="7"/>
      <c r="B37" s="8"/>
      <c r="C37" s="8"/>
      <c r="D37" s="8"/>
      <c r="E37" s="9" t="str">
        <f aca="false">IF(A37="","",COUNTIF(Compromissos!A:A,A37)+COUNTIF(Transporte!A:A,A37))</f>
        <v/>
      </c>
      <c r="F37" s="9" t="str">
        <f aca="false">IF(A37="","",IF(AND(E37=0,C37=""),"Dia sem programa",""))</f>
        <v/>
      </c>
    </row>
    <row r="38" customFormat="false" ht="15" hidden="false" customHeight="false" outlineLevel="0" collapsed="false">
      <c r="A38" s="7"/>
      <c r="B38" s="8"/>
      <c r="C38" s="8"/>
      <c r="D38" s="8"/>
      <c r="E38" s="9" t="str">
        <f aca="false">IF(A38="","",COUNTIF(Compromissos!A:A,A38)+COUNTIF(Transporte!A:A,A38))</f>
        <v/>
      </c>
      <c r="F38" s="9" t="str">
        <f aca="false">IF(A38="","",IF(AND(E38=0,C38=""),"Dia sem programa",""))</f>
        <v/>
      </c>
    </row>
    <row r="39" customFormat="false" ht="15" hidden="false" customHeight="false" outlineLevel="0" collapsed="false">
      <c r="A39" s="7"/>
      <c r="B39" s="8"/>
      <c r="C39" s="8"/>
      <c r="D39" s="8"/>
      <c r="E39" s="9" t="str">
        <f aca="false">IF(A39="","",COUNTIF(Compromissos!A:A,A39)+COUNTIF(Transporte!A:A,A39))</f>
        <v/>
      </c>
      <c r="F39" s="9" t="str">
        <f aca="false">IF(A39="","",IF(AND(E39=0,C39=""),"Dia sem programa",""))</f>
        <v/>
      </c>
    </row>
    <row r="40" customFormat="false" ht="15" hidden="false" customHeight="false" outlineLevel="0" collapsed="false">
      <c r="A40" s="7"/>
      <c r="B40" s="8"/>
      <c r="C40" s="8"/>
      <c r="D40" s="8"/>
      <c r="E40" s="9" t="str">
        <f aca="false">IF(A40="","",COUNTIF(Compromissos!A:A,A40)+COUNTIF(Transporte!A:A,A40))</f>
        <v/>
      </c>
      <c r="F40" s="9" t="str">
        <f aca="false">IF(A40="","",IF(AND(E40=0,C40=""),"Dia sem programa",""))</f>
        <v/>
      </c>
    </row>
    <row r="41" customFormat="false" ht="15" hidden="false" customHeight="false" outlineLevel="0" collapsed="false">
      <c r="A41" s="7"/>
      <c r="B41" s="8"/>
      <c r="C41" s="8"/>
      <c r="D41" s="8"/>
      <c r="E41" s="9" t="str">
        <f aca="false">IF(A41="","",COUNTIF(Compromissos!A:A,A41)+COUNTIF(Transporte!A:A,A41))</f>
        <v/>
      </c>
      <c r="F41" s="9" t="str">
        <f aca="false">IF(A41="","",IF(AND(E41=0,C41=""),"Dia sem programa",""))</f>
        <v/>
      </c>
    </row>
    <row r="42" customFormat="false" ht="15" hidden="false" customHeight="false" outlineLevel="0" collapsed="false">
      <c r="A42" s="7"/>
      <c r="B42" s="8"/>
      <c r="C42" s="8"/>
      <c r="D42" s="8"/>
      <c r="E42" s="9" t="str">
        <f aca="false">IF(A42="","",COUNTIF(Compromissos!A:A,A42)+COUNTIF(Transporte!A:A,A42))</f>
        <v/>
      </c>
      <c r="F42" s="9" t="str">
        <f aca="false">IF(A42="","",IF(AND(E42=0,C42=""),"Dia sem programa",""))</f>
        <v/>
      </c>
    </row>
    <row r="43" customFormat="false" ht="15" hidden="false" customHeight="false" outlineLevel="0" collapsed="false">
      <c r="A43" s="7"/>
      <c r="B43" s="8"/>
      <c r="C43" s="8"/>
      <c r="D43" s="8"/>
      <c r="E43" s="9" t="str">
        <f aca="false">IF(A43="","",COUNTIF(Compromissos!A:A,A43)+COUNTIF(Transporte!A:A,A43))</f>
        <v/>
      </c>
      <c r="F43" s="9" t="str">
        <f aca="false">IF(A43="","",IF(AND(E43=0,C43=""),"Dia sem programa",""))</f>
        <v/>
      </c>
    </row>
    <row r="44" customFormat="false" ht="15" hidden="false" customHeight="false" outlineLevel="0" collapsed="false">
      <c r="A44" s="7"/>
      <c r="B44" s="8"/>
      <c r="C44" s="8"/>
      <c r="D44" s="8"/>
      <c r="E44" s="9" t="str">
        <f aca="false">IF(A44="","",COUNTIF(Compromissos!A:A,A44)+COUNTIF(Transporte!A:A,A44))</f>
        <v/>
      </c>
      <c r="F44" s="9" t="str">
        <f aca="false">IF(A44="","",IF(AND(E44=0,C44=""),"Dia sem programa",""))</f>
        <v/>
      </c>
    </row>
    <row r="45" customFormat="false" ht="15" hidden="false" customHeight="false" outlineLevel="0" collapsed="false">
      <c r="A45" s="7"/>
      <c r="B45" s="8"/>
      <c r="C45" s="8"/>
      <c r="D45" s="8"/>
      <c r="E45" s="9" t="str">
        <f aca="false">IF(A45="","",COUNTIF(Compromissos!A:A,A45)+COUNTIF(Transporte!A:A,A45))</f>
        <v/>
      </c>
      <c r="F45" s="9" t="str">
        <f aca="false">IF(A45="","",IF(AND(E45=0,C45=""),"Dia sem programa",""))</f>
        <v/>
      </c>
    </row>
    <row r="46" customFormat="false" ht="15" hidden="false" customHeight="false" outlineLevel="0" collapsed="false">
      <c r="A46" s="7"/>
      <c r="B46" s="8"/>
      <c r="C46" s="8"/>
      <c r="D46" s="8"/>
      <c r="E46" s="9" t="str">
        <f aca="false">IF(A46="","",COUNTIF(Compromissos!A:A,A46)+COUNTIF(Transporte!A:A,A46))</f>
        <v/>
      </c>
      <c r="F46" s="9" t="str">
        <f aca="false">IF(A46="","",IF(AND(E46=0,C46=""),"Dia sem programa",""))</f>
        <v/>
      </c>
    </row>
    <row r="47" customFormat="false" ht="15" hidden="false" customHeight="false" outlineLevel="0" collapsed="false">
      <c r="A47" s="7"/>
      <c r="B47" s="8"/>
      <c r="C47" s="8"/>
      <c r="D47" s="8"/>
      <c r="E47" s="9" t="str">
        <f aca="false">IF(A47="","",COUNTIF(Compromissos!A:A,A47)+COUNTIF(Transporte!A:A,A47))</f>
        <v/>
      </c>
      <c r="F47" s="9" t="str">
        <f aca="false">IF(A47="","",IF(AND(E47=0,C47=""),"Dia sem programa",""))</f>
        <v/>
      </c>
    </row>
    <row r="48" customFormat="false" ht="15" hidden="false" customHeight="false" outlineLevel="0" collapsed="false">
      <c r="A48" s="7"/>
      <c r="B48" s="8"/>
      <c r="C48" s="8"/>
      <c r="D48" s="8"/>
      <c r="E48" s="9" t="str">
        <f aca="false">IF(A48="","",COUNTIF(Compromissos!A:A,A48)+COUNTIF(Transporte!A:A,A48))</f>
        <v/>
      </c>
      <c r="F48" s="9" t="str">
        <f aca="false">IF(A48="","",IF(AND(E48=0,C48=""),"Dia sem programa",""))</f>
        <v/>
      </c>
    </row>
    <row r="49" customFormat="false" ht="15" hidden="false" customHeight="false" outlineLevel="0" collapsed="false">
      <c r="A49" s="7"/>
      <c r="B49" s="8"/>
      <c r="C49" s="8"/>
      <c r="D49" s="8"/>
      <c r="E49" s="9" t="str">
        <f aca="false">IF(A49="","",COUNTIF(Compromissos!A:A,A49)+COUNTIF(Transporte!A:A,A49))</f>
        <v/>
      </c>
      <c r="F49" s="9" t="str">
        <f aca="false">IF(A49="","",IF(AND(E49=0,C49=""),"Dia sem programa",""))</f>
        <v/>
      </c>
    </row>
    <row r="50" customFormat="false" ht="15" hidden="false" customHeight="false" outlineLevel="0" collapsed="false">
      <c r="A50" s="7"/>
      <c r="B50" s="8"/>
      <c r="C50" s="8"/>
      <c r="D50" s="8"/>
      <c r="E50" s="9" t="str">
        <f aca="false">IF(A50="","",COUNTIF(Compromissos!A:A,A50)+COUNTIF(Transporte!A:A,A50))</f>
        <v/>
      </c>
      <c r="F50" s="9" t="str">
        <f aca="false">IF(A50="","",IF(AND(E50=0,C50=""),"Dia sem programa",""))</f>
        <v/>
      </c>
    </row>
    <row r="51" customFormat="false" ht="15" hidden="false" customHeight="false" outlineLevel="0" collapsed="false">
      <c r="A51" s="7"/>
      <c r="B51" s="8"/>
      <c r="C51" s="8"/>
      <c r="D51" s="8"/>
      <c r="E51" s="9" t="str">
        <f aca="false">IF(A51="","",COUNTIF(Compromissos!A:A,A51)+COUNTIF(Transporte!A:A,A51))</f>
        <v/>
      </c>
      <c r="F51" s="9" t="str">
        <f aca="false">IF(A51="","",IF(AND(E51=0,C51=""),"Dia sem programa",""))</f>
        <v/>
      </c>
    </row>
    <row r="52" customFormat="false" ht="15" hidden="false" customHeight="false" outlineLevel="0" collapsed="false">
      <c r="A52" s="7"/>
      <c r="B52" s="8"/>
      <c r="C52" s="8"/>
      <c r="D52" s="8"/>
      <c r="E52" s="9" t="str">
        <f aca="false">IF(A52="","",COUNTIF(Compromissos!A:A,A52)+COUNTIF(Transporte!A:A,A52))</f>
        <v/>
      </c>
      <c r="F52" s="9" t="str">
        <f aca="false">IF(A52="","",IF(AND(E52=0,C52=""),"Dia sem programa",""))</f>
        <v/>
      </c>
    </row>
    <row r="53" customFormat="false" ht="15" hidden="false" customHeight="false" outlineLevel="0" collapsed="false">
      <c r="A53" s="7"/>
      <c r="B53" s="8"/>
      <c r="C53" s="8"/>
      <c r="D53" s="8"/>
      <c r="E53" s="9" t="str">
        <f aca="false">IF(A53="","",COUNTIF(Compromissos!A:A,A53)+COUNTIF(Transporte!A:A,A53))</f>
        <v/>
      </c>
      <c r="F53" s="9" t="str">
        <f aca="false">IF(A53="","",IF(AND(E53=0,C53=""),"Dia sem programa",""))</f>
        <v/>
      </c>
    </row>
    <row r="54" customFormat="false" ht="15" hidden="false" customHeight="false" outlineLevel="0" collapsed="false">
      <c r="A54" s="7"/>
      <c r="B54" s="8"/>
      <c r="C54" s="8"/>
      <c r="D54" s="8"/>
      <c r="E54" s="9" t="str">
        <f aca="false">IF(A54="","",COUNTIF(Compromissos!A:A,A54)+COUNTIF(Transporte!A:A,A54))</f>
        <v/>
      </c>
      <c r="F54" s="9" t="str">
        <f aca="false">IF(A54="","",IF(AND(E54=0,C54=""),"Dia sem programa",""))</f>
        <v/>
      </c>
    </row>
    <row r="55" customFormat="false" ht="15" hidden="false" customHeight="false" outlineLevel="0" collapsed="false">
      <c r="A55" s="7"/>
      <c r="B55" s="8"/>
      <c r="C55" s="8"/>
      <c r="D55" s="8"/>
      <c r="E55" s="9" t="str">
        <f aca="false">IF(A55="","",COUNTIF(Compromissos!A:A,A55)+COUNTIF(Transporte!A:A,A55))</f>
        <v/>
      </c>
      <c r="F55" s="9" t="str">
        <f aca="false">IF(A55="","",IF(AND(E55=0,C55=""),"Dia sem programa",""))</f>
        <v/>
      </c>
    </row>
    <row r="56" customFormat="false" ht="15" hidden="false" customHeight="false" outlineLevel="0" collapsed="false">
      <c r="A56" s="7"/>
      <c r="B56" s="8"/>
      <c r="C56" s="8"/>
      <c r="D56" s="8"/>
      <c r="E56" s="9" t="str">
        <f aca="false">IF(A56="","",COUNTIF(Compromissos!A:A,A56)+COUNTIF(Transporte!A:A,A56))</f>
        <v/>
      </c>
      <c r="F56" s="9" t="str">
        <f aca="false">IF(A56="","",IF(AND(E56=0,C56=""),"Dia sem programa",""))</f>
        <v/>
      </c>
    </row>
    <row r="57" customFormat="false" ht="15" hidden="false" customHeight="false" outlineLevel="0" collapsed="false">
      <c r="A57" s="7"/>
      <c r="B57" s="8"/>
      <c r="C57" s="8"/>
      <c r="D57" s="8"/>
      <c r="E57" s="9" t="str">
        <f aca="false">IF(A57="","",COUNTIF(Compromissos!A:A,A57)+COUNTIF(Transporte!A:A,A57))</f>
        <v/>
      </c>
      <c r="F57" s="9" t="str">
        <f aca="false">IF(A57="","",IF(AND(E57=0,C57=""),"Dia sem programa",""))</f>
        <v/>
      </c>
    </row>
    <row r="58" customFormat="false" ht="15" hidden="false" customHeight="false" outlineLevel="0" collapsed="false">
      <c r="A58" s="7"/>
      <c r="B58" s="8"/>
      <c r="C58" s="8"/>
      <c r="D58" s="8"/>
      <c r="E58" s="9" t="str">
        <f aca="false">IF(A58="","",COUNTIF(Compromissos!A:A,A58)+COUNTIF(Transporte!A:A,A58))</f>
        <v/>
      </c>
      <c r="F58" s="9" t="str">
        <f aca="false">IF(A58="","",IF(AND(E58=0,C58=""),"Dia sem programa",""))</f>
        <v/>
      </c>
    </row>
    <row r="59" customFormat="false" ht="15" hidden="false" customHeight="false" outlineLevel="0" collapsed="false">
      <c r="A59" s="7"/>
      <c r="B59" s="8"/>
      <c r="C59" s="8"/>
      <c r="D59" s="8"/>
      <c r="E59" s="9" t="str">
        <f aca="false">IF(A59="","",COUNTIF(Compromissos!A:A,A59)+COUNTIF(Transporte!A:A,A59))</f>
        <v/>
      </c>
      <c r="F59" s="9" t="str">
        <f aca="false">IF(A59="","",IF(AND(E59=0,C59=""),"Dia sem programa",""))</f>
        <v/>
      </c>
    </row>
    <row r="60" customFormat="false" ht="15" hidden="false" customHeight="false" outlineLevel="0" collapsed="false">
      <c r="A60" s="7"/>
      <c r="B60" s="8"/>
      <c r="C60" s="8"/>
      <c r="D60" s="8"/>
      <c r="E60" s="9" t="str">
        <f aca="false">IF(A60="","",COUNTIF(Compromissos!A:A,A60)+COUNTIF(Transporte!A:A,A60))</f>
        <v/>
      </c>
      <c r="F60" s="9" t="str">
        <f aca="false">IF(A60="","",IF(AND(E60=0,C60=""),"Dia sem programa",""))</f>
        <v/>
      </c>
    </row>
    <row r="61" customFormat="false" ht="15" hidden="false" customHeight="false" outlineLevel="0" collapsed="false">
      <c r="A61" s="7"/>
      <c r="B61" s="8"/>
      <c r="C61" s="8"/>
      <c r="D61" s="8"/>
      <c r="E61" s="9" t="str">
        <f aca="false">IF(A61="","",COUNTIF(Compromissos!A:A,A61)+COUNTIF(Transporte!A:A,A61))</f>
        <v/>
      </c>
      <c r="F61" s="9" t="str">
        <f aca="false">IF(A61="","",IF(AND(E61=0,C61=""),"Dia sem programa",""))</f>
        <v/>
      </c>
    </row>
    <row r="62" customFormat="false" ht="15" hidden="false" customHeight="false" outlineLevel="0" collapsed="false">
      <c r="A62" s="7"/>
      <c r="B62" s="8"/>
      <c r="C62" s="8"/>
      <c r="D62" s="8"/>
      <c r="E62" s="9" t="str">
        <f aca="false">IF(A62="","",COUNTIF(Compromissos!A:A,A62)+COUNTIF(Transporte!A:A,A62))</f>
        <v/>
      </c>
      <c r="F62" s="9" t="str">
        <f aca="false">IF(A62="","",IF(AND(E62=0,C62=""),"Dia sem programa",""))</f>
        <v/>
      </c>
    </row>
    <row r="63" customFormat="false" ht="15" hidden="false" customHeight="false" outlineLevel="0" collapsed="false">
      <c r="A63" s="7"/>
      <c r="B63" s="8"/>
      <c r="C63" s="8"/>
      <c r="D63" s="8"/>
      <c r="E63" s="9" t="str">
        <f aca="false">IF(A63="","",COUNTIF(Compromissos!A:A,A63)+COUNTIF(Transporte!A:A,A63))</f>
        <v/>
      </c>
      <c r="F63" s="9" t="str">
        <f aca="false">IF(A63="","",IF(AND(E63=0,C63=""),"Dia sem programa",""))</f>
        <v/>
      </c>
    </row>
    <row r="64" customFormat="false" ht="15" hidden="false" customHeight="false" outlineLevel="0" collapsed="false">
      <c r="A64" s="7"/>
      <c r="B64" s="8"/>
      <c r="C64" s="8"/>
      <c r="D64" s="8"/>
      <c r="E64" s="9" t="str">
        <f aca="false">IF(A64="","",COUNTIF(Compromissos!A:A,A64)+COUNTIF(Transporte!A:A,A64))</f>
        <v/>
      </c>
      <c r="F64" s="9" t="str">
        <f aca="false">IF(A64="","",IF(AND(E64=0,C64=""),"Dia sem programa",""))</f>
        <v/>
      </c>
    </row>
    <row r="65" customFormat="false" ht="15" hidden="false" customHeight="false" outlineLevel="0" collapsed="false">
      <c r="A65" s="7"/>
      <c r="B65" s="8"/>
      <c r="C65" s="8"/>
      <c r="D65" s="8"/>
      <c r="E65" s="9" t="str">
        <f aca="false">IF(A65="","",COUNTIF(Compromissos!A:A,A65)+COUNTIF(Transporte!A:A,A65))</f>
        <v/>
      </c>
      <c r="F65" s="9" t="str">
        <f aca="false">IF(A65="","",IF(AND(E65=0,C65=""),"Dia sem programa",""))</f>
        <v/>
      </c>
    </row>
    <row r="66" customFormat="false" ht="15" hidden="false" customHeight="false" outlineLevel="0" collapsed="false">
      <c r="A66" s="7"/>
      <c r="B66" s="8"/>
      <c r="C66" s="8"/>
      <c r="D66" s="8"/>
      <c r="E66" s="9" t="str">
        <f aca="false">IF(A66="","",COUNTIF(Compromissos!A:A,A66)+COUNTIF(Transporte!A:A,A66))</f>
        <v/>
      </c>
      <c r="F66" s="9" t="str">
        <f aca="false">IF(A66="","",IF(AND(E66=0,C66=""),"Dia sem programa",""))</f>
        <v/>
      </c>
    </row>
    <row r="67" customFormat="false" ht="15" hidden="false" customHeight="false" outlineLevel="0" collapsed="false">
      <c r="A67" s="7"/>
      <c r="B67" s="8"/>
      <c r="C67" s="8"/>
      <c r="D67" s="8"/>
      <c r="E67" s="9" t="str">
        <f aca="false">IF(A67="","",COUNTIF(Compromissos!A:A,A67)+COUNTIF(Transporte!A:A,A67))</f>
        <v/>
      </c>
      <c r="F67" s="9" t="str">
        <f aca="false">IF(A67="","",IF(AND(E67=0,C67=""),"Dia sem programa",""))</f>
        <v/>
      </c>
    </row>
    <row r="68" customFormat="false" ht="15" hidden="false" customHeight="false" outlineLevel="0" collapsed="false">
      <c r="A68" s="7"/>
      <c r="B68" s="8"/>
      <c r="C68" s="8"/>
      <c r="D68" s="8"/>
      <c r="E68" s="9" t="str">
        <f aca="false">IF(A68="","",COUNTIF(Compromissos!A:A,A68)+COUNTIF(Transporte!A:A,A68))</f>
        <v/>
      </c>
      <c r="F68" s="9" t="str">
        <f aca="false">IF(A68="","",IF(AND(E68=0,C68=""),"Dia sem programa",""))</f>
        <v/>
      </c>
    </row>
    <row r="69" customFormat="false" ht="15" hidden="false" customHeight="false" outlineLevel="0" collapsed="false">
      <c r="A69" s="7"/>
      <c r="B69" s="8"/>
      <c r="C69" s="8"/>
      <c r="D69" s="8"/>
      <c r="E69" s="9" t="str">
        <f aca="false">IF(A69="","",COUNTIF(Compromissos!A:A,A69)+COUNTIF(Transporte!A:A,A69))</f>
        <v/>
      </c>
      <c r="F69" s="9" t="str">
        <f aca="false">IF(A69="","",IF(AND(E69=0,C69=""),"Dia sem programa",""))</f>
        <v/>
      </c>
    </row>
    <row r="70" customFormat="false" ht="15" hidden="false" customHeight="false" outlineLevel="0" collapsed="false">
      <c r="A70" s="7"/>
      <c r="B70" s="8"/>
      <c r="C70" s="8"/>
      <c r="D70" s="8"/>
      <c r="E70" s="9" t="str">
        <f aca="false">IF(A70="","",COUNTIF(Compromissos!A:A,A70)+COUNTIF(Transporte!A:A,A70))</f>
        <v/>
      </c>
      <c r="F70" s="9" t="str">
        <f aca="false">IF(A70="","",IF(AND(E70=0,C70=""),"Dia sem programa",""))</f>
        <v/>
      </c>
    </row>
    <row r="71" customFormat="false" ht="15" hidden="false" customHeight="false" outlineLevel="0" collapsed="false">
      <c r="A71" s="7"/>
      <c r="B71" s="8"/>
      <c r="C71" s="8"/>
      <c r="D71" s="8"/>
      <c r="E71" s="9" t="str">
        <f aca="false">IF(A71="","",COUNTIF(Compromissos!A:A,A71)+COUNTIF(Transporte!A:A,A71))</f>
        <v/>
      </c>
      <c r="F71" s="9" t="str">
        <f aca="false">IF(A71="","",IF(AND(E71=0,C71=""),"Dia sem programa",""))</f>
        <v/>
      </c>
    </row>
    <row r="72" customFormat="false" ht="15" hidden="false" customHeight="false" outlineLevel="0" collapsed="false">
      <c r="A72" s="7"/>
      <c r="B72" s="8"/>
      <c r="C72" s="8"/>
      <c r="D72" s="8"/>
      <c r="E72" s="9" t="str">
        <f aca="false">IF(A72="","",COUNTIF(Compromissos!A:A,A72)+COUNTIF(Transporte!A:A,A72))</f>
        <v/>
      </c>
      <c r="F72" s="9" t="str">
        <f aca="false">IF(A72="","",IF(AND(E72=0,C72=""),"Dia sem programa",""))</f>
        <v/>
      </c>
    </row>
    <row r="73" customFormat="false" ht="15" hidden="false" customHeight="false" outlineLevel="0" collapsed="false">
      <c r="A73" s="7"/>
      <c r="B73" s="8"/>
      <c r="C73" s="8"/>
      <c r="D73" s="8"/>
      <c r="E73" s="9" t="str">
        <f aca="false">IF(A73="","",COUNTIF(Compromissos!A:A,A73)+COUNTIF(Transporte!A:A,A73))</f>
        <v/>
      </c>
      <c r="F73" s="9" t="str">
        <f aca="false">IF(A73="","",IF(AND(E73=0,C73=""),"Dia sem programa",""))</f>
        <v/>
      </c>
    </row>
    <row r="74" customFormat="false" ht="15" hidden="false" customHeight="false" outlineLevel="0" collapsed="false">
      <c r="A74" s="7"/>
      <c r="B74" s="8"/>
      <c r="C74" s="8"/>
      <c r="D74" s="8"/>
      <c r="E74" s="9" t="str">
        <f aca="false">IF(A74="","",COUNTIF(Compromissos!A:A,A74)+COUNTIF(Transporte!A:A,A74))</f>
        <v/>
      </c>
      <c r="F74" s="9" t="str">
        <f aca="false">IF(A74="","",IF(AND(E74=0,C74=""),"Dia sem programa",""))</f>
        <v/>
      </c>
    </row>
    <row r="75" customFormat="false" ht="15" hidden="false" customHeight="false" outlineLevel="0" collapsed="false">
      <c r="A75" s="7"/>
      <c r="B75" s="8"/>
      <c r="C75" s="8"/>
      <c r="D75" s="8"/>
      <c r="E75" s="9" t="str">
        <f aca="false">IF(A75="","",COUNTIF(Compromissos!A:A,A75)+COUNTIF(Transporte!A:A,A75))</f>
        <v/>
      </c>
      <c r="F75" s="9" t="str">
        <f aca="false">IF(A75="","",IF(AND(E75=0,C75=""),"Dia sem programa",""))</f>
        <v/>
      </c>
    </row>
    <row r="76" customFormat="false" ht="15" hidden="false" customHeight="false" outlineLevel="0" collapsed="false">
      <c r="A76" s="7"/>
      <c r="B76" s="8"/>
      <c r="C76" s="8"/>
      <c r="D76" s="8"/>
      <c r="E76" s="9" t="str">
        <f aca="false">IF(A76="","",COUNTIF(Compromissos!A:A,A76)+COUNTIF(Transporte!A:A,A76))</f>
        <v/>
      </c>
      <c r="F76" s="9" t="str">
        <f aca="false">IF(A76="","",IF(AND(E76=0,C76=""),"Dia sem programa",""))</f>
        <v/>
      </c>
    </row>
    <row r="77" customFormat="false" ht="15" hidden="false" customHeight="false" outlineLevel="0" collapsed="false">
      <c r="A77" s="7"/>
      <c r="B77" s="8"/>
      <c r="C77" s="8"/>
      <c r="D77" s="8"/>
      <c r="E77" s="9" t="str">
        <f aca="false">IF(A77="","",COUNTIF(Compromissos!A:A,A77)+COUNTIF(Transporte!A:A,A77))</f>
        <v/>
      </c>
      <c r="F77" s="9" t="str">
        <f aca="false">IF(A77="","",IF(AND(E77=0,C77=""),"Dia sem programa",""))</f>
        <v/>
      </c>
    </row>
    <row r="78" customFormat="false" ht="15" hidden="false" customHeight="false" outlineLevel="0" collapsed="false">
      <c r="A78" s="7"/>
      <c r="B78" s="8"/>
      <c r="C78" s="8"/>
      <c r="D78" s="8"/>
      <c r="E78" s="9" t="str">
        <f aca="false">IF(A78="","",COUNTIF(Compromissos!A:A,A78)+COUNTIF(Transporte!A:A,A78))</f>
        <v/>
      </c>
      <c r="F78" s="9" t="str">
        <f aca="false">IF(A78="","",IF(AND(E78=0,C78=""),"Dia sem programa",""))</f>
        <v/>
      </c>
    </row>
    <row r="79" customFormat="false" ht="15" hidden="false" customHeight="false" outlineLevel="0" collapsed="false">
      <c r="A79" s="7"/>
      <c r="B79" s="8"/>
      <c r="C79" s="8"/>
      <c r="D79" s="8"/>
      <c r="E79" s="9" t="str">
        <f aca="false">IF(A79="","",COUNTIF(Compromissos!A:A,A79)+COUNTIF(Transporte!A:A,A79))</f>
        <v/>
      </c>
      <c r="F79" s="9" t="str">
        <f aca="false">IF(A79="","",IF(AND(E79=0,C79=""),"Dia sem programa",""))</f>
        <v/>
      </c>
    </row>
    <row r="80" customFormat="false" ht="15" hidden="false" customHeight="false" outlineLevel="0" collapsed="false">
      <c r="A80" s="7"/>
      <c r="B80" s="8"/>
      <c r="C80" s="8"/>
      <c r="D80" s="8"/>
      <c r="E80" s="9" t="str">
        <f aca="false">IF(A80="","",COUNTIF(Compromissos!A:A,A80)+COUNTIF(Transporte!A:A,A80))</f>
        <v/>
      </c>
      <c r="F80" s="9" t="str">
        <f aca="false">IF(A80="","",IF(AND(E80=0,C80=""),"Dia sem programa",""))</f>
        <v/>
      </c>
    </row>
    <row r="81" customFormat="false" ht="15" hidden="false" customHeight="false" outlineLevel="0" collapsed="false">
      <c r="A81" s="7"/>
      <c r="B81" s="8"/>
      <c r="C81" s="8"/>
      <c r="D81" s="8"/>
      <c r="E81" s="9" t="str">
        <f aca="false">IF(A81="","",COUNTIF(Compromissos!A:A,A81)+COUNTIF(Transporte!A:A,A81))</f>
        <v/>
      </c>
      <c r="F81" s="9" t="str">
        <f aca="false">IF(A81="","",IF(AND(E81=0,C81=""),"Dia sem programa",""))</f>
        <v/>
      </c>
    </row>
    <row r="82" customFormat="false" ht="15" hidden="false" customHeight="false" outlineLevel="0" collapsed="false">
      <c r="A82" s="7"/>
      <c r="B82" s="8"/>
      <c r="C82" s="8"/>
      <c r="D82" s="8"/>
      <c r="E82" s="9" t="str">
        <f aca="false">IF(A82="","",COUNTIF(Compromissos!A:A,A82)+COUNTIF(Transporte!A:A,A82))</f>
        <v/>
      </c>
      <c r="F82" s="9" t="str">
        <f aca="false">IF(A82="","",IF(AND(E82=0,C82=""),"Dia sem programa",""))</f>
        <v/>
      </c>
    </row>
    <row r="83" customFormat="false" ht="15" hidden="false" customHeight="false" outlineLevel="0" collapsed="false">
      <c r="A83" s="7"/>
      <c r="B83" s="8"/>
      <c r="C83" s="8"/>
      <c r="D83" s="8"/>
      <c r="E83" s="9" t="str">
        <f aca="false">IF(A83="","",COUNTIF(Compromissos!A:A,A83)+COUNTIF(Transporte!A:A,A83))</f>
        <v/>
      </c>
      <c r="F83" s="9" t="str">
        <f aca="false">IF(A83="","",IF(AND(E83=0,C83=""),"Dia sem programa",""))</f>
        <v/>
      </c>
    </row>
    <row r="84" customFormat="false" ht="15" hidden="false" customHeight="false" outlineLevel="0" collapsed="false">
      <c r="A84" s="7"/>
      <c r="B84" s="8"/>
      <c r="C84" s="8"/>
      <c r="D84" s="8"/>
      <c r="E84" s="9" t="str">
        <f aca="false">IF(A84="","",COUNTIF(Compromissos!A:A,A84)+COUNTIF(Transporte!A:A,A84))</f>
        <v/>
      </c>
      <c r="F84" s="9" t="str">
        <f aca="false">IF(A84="","",IF(AND(E84=0,C84=""),"Dia sem programa",""))</f>
        <v/>
      </c>
    </row>
    <row r="85" customFormat="false" ht="15" hidden="false" customHeight="false" outlineLevel="0" collapsed="false">
      <c r="A85" s="7"/>
      <c r="B85" s="8"/>
      <c r="C85" s="8"/>
      <c r="D85" s="8"/>
      <c r="E85" s="9" t="str">
        <f aca="false">IF(A85="","",COUNTIF(Compromissos!A:A,A85)+COUNTIF(Transporte!A:A,A85))</f>
        <v/>
      </c>
      <c r="F85" s="9" t="str">
        <f aca="false">IF(A85="","",IF(AND(E85=0,C85=""),"Dia sem programa",""))</f>
        <v/>
      </c>
    </row>
    <row r="86" customFormat="false" ht="15" hidden="false" customHeight="false" outlineLevel="0" collapsed="false">
      <c r="A86" s="7"/>
      <c r="B86" s="8"/>
      <c r="C86" s="8"/>
      <c r="D86" s="8"/>
      <c r="E86" s="9" t="str">
        <f aca="false">IF(A86="","",COUNTIF(Compromissos!A:A,A86)+COUNTIF(Transporte!A:A,A86))</f>
        <v/>
      </c>
      <c r="F86" s="9" t="str">
        <f aca="false">IF(A86="","",IF(AND(E86=0,C86=""),"Dia sem programa",""))</f>
        <v/>
      </c>
    </row>
    <row r="87" customFormat="false" ht="15" hidden="false" customHeight="false" outlineLevel="0" collapsed="false">
      <c r="A87" s="7"/>
      <c r="B87" s="8"/>
      <c r="C87" s="8"/>
      <c r="D87" s="8"/>
      <c r="E87" s="9" t="str">
        <f aca="false">IF(A87="","",COUNTIF(Compromissos!A:A,A87)+COUNTIF(Transporte!A:A,A87))</f>
        <v/>
      </c>
      <c r="F87" s="9" t="str">
        <f aca="false">IF(A87="","",IF(AND(E87=0,C87=""),"Dia sem programa",""))</f>
        <v/>
      </c>
    </row>
    <row r="88" customFormat="false" ht="15" hidden="false" customHeight="false" outlineLevel="0" collapsed="false">
      <c r="A88" s="7"/>
      <c r="B88" s="8"/>
      <c r="C88" s="8"/>
      <c r="D88" s="8"/>
      <c r="E88" s="9" t="str">
        <f aca="false">IF(A88="","",COUNTIF(Compromissos!A:A,A88)+COUNTIF(Transporte!A:A,A88))</f>
        <v/>
      </c>
      <c r="F88" s="9" t="str">
        <f aca="false">IF(A88="","",IF(AND(E88=0,C88=""),"Dia sem programa",""))</f>
        <v/>
      </c>
    </row>
    <row r="89" customFormat="false" ht="15" hidden="false" customHeight="false" outlineLevel="0" collapsed="false">
      <c r="A89" s="7"/>
      <c r="B89" s="8"/>
      <c r="C89" s="8"/>
      <c r="D89" s="8"/>
      <c r="E89" s="9" t="str">
        <f aca="false">IF(A89="","",COUNTIF(Compromissos!A:A,A89)+COUNTIF(Transporte!A:A,A89))</f>
        <v/>
      </c>
      <c r="F89" s="9" t="str">
        <f aca="false">IF(A89="","",IF(AND(E89=0,C89=""),"Dia sem programa",""))</f>
        <v/>
      </c>
    </row>
    <row r="90" customFormat="false" ht="15" hidden="false" customHeight="false" outlineLevel="0" collapsed="false">
      <c r="A90" s="7"/>
      <c r="B90" s="8"/>
      <c r="C90" s="8"/>
      <c r="D90" s="8"/>
      <c r="E90" s="9" t="str">
        <f aca="false">IF(A90="","",COUNTIF(Compromissos!A:A,A90)+COUNTIF(Transporte!A:A,A90))</f>
        <v/>
      </c>
      <c r="F90" s="9" t="str">
        <f aca="false">IF(A90="","",IF(AND(E90=0,C90=""),"Dia sem programa",""))</f>
        <v/>
      </c>
    </row>
    <row r="91" customFormat="false" ht="15" hidden="false" customHeight="false" outlineLevel="0" collapsed="false">
      <c r="A91" s="7"/>
      <c r="B91" s="8"/>
      <c r="C91" s="8"/>
      <c r="D91" s="8"/>
      <c r="E91" s="9" t="str">
        <f aca="false">IF(A91="","",COUNTIF(Compromissos!A:A,A91)+COUNTIF(Transporte!A:A,A91))</f>
        <v/>
      </c>
      <c r="F91" s="9" t="str">
        <f aca="false">IF(A91="","",IF(AND(E91=0,C91=""),"Dia sem programa",""))</f>
        <v/>
      </c>
    </row>
    <row r="92" customFormat="false" ht="15" hidden="false" customHeight="false" outlineLevel="0" collapsed="false">
      <c r="A92" s="7"/>
      <c r="B92" s="8"/>
      <c r="C92" s="8"/>
      <c r="D92" s="8"/>
      <c r="E92" s="9" t="str">
        <f aca="false">IF(A92="","",COUNTIF(Compromissos!A:A,A92)+COUNTIF(Transporte!A:A,A92))</f>
        <v/>
      </c>
      <c r="F92" s="9" t="str">
        <f aca="false">IF(A92="","",IF(AND(E92=0,C92=""),"Dia sem programa",""))</f>
        <v/>
      </c>
    </row>
    <row r="93" customFormat="false" ht="15" hidden="false" customHeight="false" outlineLevel="0" collapsed="false">
      <c r="A93" s="7"/>
      <c r="B93" s="8"/>
      <c r="C93" s="8"/>
      <c r="D93" s="8"/>
      <c r="E93" s="9" t="str">
        <f aca="false">IF(A93="","",COUNTIF(Compromissos!A:A,A93)+COUNTIF(Transporte!A:A,A93))</f>
        <v/>
      </c>
      <c r="F93" s="9" t="str">
        <f aca="false">IF(A93="","",IF(AND(E93=0,C93=""),"Dia sem programa",""))</f>
        <v/>
      </c>
    </row>
    <row r="94" customFormat="false" ht="15" hidden="false" customHeight="false" outlineLevel="0" collapsed="false">
      <c r="A94" s="7"/>
      <c r="B94" s="8"/>
      <c r="C94" s="8"/>
      <c r="D94" s="8"/>
      <c r="E94" s="9" t="str">
        <f aca="false">IF(A94="","",COUNTIF(Compromissos!A:A,A94)+COUNTIF(Transporte!A:A,A94))</f>
        <v/>
      </c>
      <c r="F94" s="9" t="str">
        <f aca="false">IF(A94="","",IF(AND(E94=0,C94=""),"Dia sem programa",""))</f>
        <v/>
      </c>
    </row>
    <row r="95" customFormat="false" ht="15" hidden="false" customHeight="false" outlineLevel="0" collapsed="false">
      <c r="A95" s="7"/>
      <c r="B95" s="8"/>
      <c r="C95" s="8"/>
      <c r="D95" s="8"/>
      <c r="E95" s="9" t="str">
        <f aca="false">IF(A95="","",COUNTIF(Compromissos!A:A,A95)+COUNTIF(Transporte!A:A,A95))</f>
        <v/>
      </c>
      <c r="F95" s="9" t="str">
        <f aca="false">IF(A95="","",IF(AND(E95=0,C95=""),"Dia sem programa",""))</f>
        <v/>
      </c>
    </row>
    <row r="96" customFormat="false" ht="15" hidden="false" customHeight="false" outlineLevel="0" collapsed="false">
      <c r="A96" s="7"/>
      <c r="B96" s="8"/>
      <c r="C96" s="8"/>
      <c r="D96" s="8"/>
      <c r="E96" s="9" t="str">
        <f aca="false">IF(A96="","",COUNTIF(Compromissos!A:A,A96)+COUNTIF(Transporte!A:A,A96))</f>
        <v/>
      </c>
      <c r="F96" s="9" t="str">
        <f aca="false">IF(A96="","",IF(AND(E96=0,C96=""),"Dia sem programa",""))</f>
        <v/>
      </c>
    </row>
    <row r="97" customFormat="false" ht="15" hidden="false" customHeight="false" outlineLevel="0" collapsed="false">
      <c r="A97" s="7"/>
      <c r="B97" s="8"/>
      <c r="C97" s="8"/>
      <c r="D97" s="8"/>
      <c r="E97" s="9" t="str">
        <f aca="false">IF(A97="","",COUNTIF(Compromissos!A:A,A97)+COUNTIF(Transporte!A:A,A97))</f>
        <v/>
      </c>
      <c r="F97" s="9" t="str">
        <f aca="false">IF(A97="","",IF(AND(E97=0,C97=""),"Dia sem programa",""))</f>
        <v/>
      </c>
    </row>
    <row r="98" customFormat="false" ht="15" hidden="false" customHeight="false" outlineLevel="0" collapsed="false">
      <c r="A98" s="7"/>
      <c r="B98" s="8"/>
      <c r="C98" s="8"/>
      <c r="D98" s="8"/>
      <c r="E98" s="9" t="str">
        <f aca="false">IF(A98="","",COUNTIF(Compromissos!A:A,A98)+COUNTIF(Transporte!A:A,A98))</f>
        <v/>
      </c>
      <c r="F98" s="9" t="str">
        <f aca="false">IF(A98="","",IF(AND(E98=0,C98=""),"Dia sem programa",""))</f>
        <v/>
      </c>
    </row>
    <row r="99" customFormat="false" ht="15" hidden="false" customHeight="false" outlineLevel="0" collapsed="false">
      <c r="A99" s="7"/>
      <c r="B99" s="8"/>
      <c r="C99" s="8"/>
      <c r="D99" s="8"/>
      <c r="E99" s="9" t="str">
        <f aca="false">IF(A99="","",COUNTIF(Compromissos!A:A,A99)+COUNTIF(Transporte!A:A,A99))</f>
        <v/>
      </c>
      <c r="F99" s="9" t="str">
        <f aca="false">IF(A99="","",IF(AND(E99=0,C99=""),"Dia sem programa",""))</f>
        <v/>
      </c>
    </row>
    <row r="100" customFormat="false" ht="15" hidden="false" customHeight="false" outlineLevel="0" collapsed="false">
      <c r="A100" s="7"/>
      <c r="B100" s="8"/>
      <c r="C100" s="8"/>
      <c r="D100" s="8"/>
      <c r="E100" s="9" t="str">
        <f aca="false">IF(A100="","",COUNTIF(Compromissos!A:A,A100)+COUNTIF(Transporte!A:A,A100))</f>
        <v/>
      </c>
      <c r="F100" s="9" t="str">
        <f aca="false">IF(A100="","",IF(AND(E100=0,C100=""),"Dia sem programa",""))</f>
        <v/>
      </c>
    </row>
    <row r="101" customFormat="false" ht="15" hidden="false" customHeight="false" outlineLevel="0" collapsed="false">
      <c r="A101" s="7"/>
      <c r="B101" s="8"/>
      <c r="C101" s="8"/>
      <c r="D101" s="8"/>
      <c r="E101" s="9" t="str">
        <f aca="false">IF(A101="","",COUNTIF(Compromissos!A:A,A101)+COUNTIF(Transporte!A:A,A101))</f>
        <v/>
      </c>
      <c r="F101" s="9" t="str">
        <f aca="false">IF(A101="","",IF(AND(E101=0,C101=""),"Dia sem programa",""))</f>
        <v/>
      </c>
    </row>
    <row r="102" customFormat="false" ht="15" hidden="false" customHeight="false" outlineLevel="0" collapsed="false">
      <c r="A102" s="7"/>
      <c r="B102" s="8"/>
      <c r="C102" s="8"/>
      <c r="D102" s="8"/>
      <c r="E102" s="9" t="str">
        <f aca="false">IF(A102="","",COUNTIF(Compromissos!A:A,A102)+COUNTIF(Transporte!A:A,A102))</f>
        <v/>
      </c>
      <c r="F102" s="9" t="str">
        <f aca="false">IF(A102="","",IF(AND(E102=0,C102=""),"Dia sem programa",""))</f>
        <v/>
      </c>
    </row>
    <row r="103" customFormat="false" ht="15" hidden="false" customHeight="false" outlineLevel="0" collapsed="false">
      <c r="A103" s="7"/>
      <c r="B103" s="8"/>
      <c r="C103" s="8"/>
      <c r="D103" s="8"/>
      <c r="E103" s="9" t="str">
        <f aca="false">IF(A103="","",COUNTIF(Compromissos!A:A,A103)+COUNTIF(Transporte!A:A,A103))</f>
        <v/>
      </c>
      <c r="F103" s="9" t="str">
        <f aca="false">IF(A103="","",IF(AND(E103=0,C103=""),"Dia sem programa",""))</f>
        <v/>
      </c>
    </row>
    <row r="104" customFormat="false" ht="15" hidden="false" customHeight="false" outlineLevel="0" collapsed="false">
      <c r="A104" s="7"/>
      <c r="B104" s="8"/>
      <c r="C104" s="8"/>
      <c r="D104" s="8"/>
      <c r="E104" s="9" t="str">
        <f aca="false">IF(A104="","",COUNTIF(Compromissos!A:A,A104)+COUNTIF(Transporte!A:A,A104))</f>
        <v/>
      </c>
      <c r="F104" s="9" t="str">
        <f aca="false">IF(A104="","",IF(AND(E104=0,C104=""),"Dia sem programa",""))</f>
        <v/>
      </c>
    </row>
    <row r="105" customFormat="false" ht="15" hidden="false" customHeight="false" outlineLevel="0" collapsed="false">
      <c r="A105" s="7"/>
      <c r="B105" s="8"/>
      <c r="C105" s="8"/>
      <c r="D105" s="8"/>
      <c r="E105" s="9" t="str">
        <f aca="false">IF(A105="","",COUNTIF(Compromissos!A:A,A105)+COUNTIF(Transporte!A:A,A105))</f>
        <v/>
      </c>
      <c r="F105" s="9" t="str">
        <f aca="false">IF(A105="","",IF(AND(E105=0,C105=""),"Dia sem programa",""))</f>
        <v/>
      </c>
    </row>
    <row r="106" customFormat="false" ht="15" hidden="false" customHeight="false" outlineLevel="0" collapsed="false">
      <c r="A106" s="7"/>
      <c r="B106" s="8"/>
      <c r="C106" s="8"/>
      <c r="D106" s="8"/>
      <c r="E106" s="9" t="str">
        <f aca="false">IF(A106="","",COUNTIF(Compromissos!A:A,A106)+COUNTIF(Transporte!A:A,A106))</f>
        <v/>
      </c>
      <c r="F106" s="9" t="str">
        <f aca="false">IF(A106="","",IF(AND(E106=0,C106=""),"Dia sem programa",""))</f>
        <v/>
      </c>
    </row>
    <row r="107" customFormat="false" ht="15" hidden="false" customHeight="false" outlineLevel="0" collapsed="false">
      <c r="A107" s="7"/>
      <c r="B107" s="8"/>
      <c r="C107" s="8"/>
      <c r="D107" s="8"/>
      <c r="E107" s="9" t="str">
        <f aca="false">IF(A107="","",COUNTIF(Compromissos!A:A,A107)+COUNTIF(Transporte!A:A,A107))</f>
        <v/>
      </c>
      <c r="F107" s="9" t="str">
        <f aca="false">IF(A107="","",IF(AND(E107=0,C107=""),"Dia sem programa",""))</f>
        <v/>
      </c>
    </row>
    <row r="108" customFormat="false" ht="15" hidden="false" customHeight="false" outlineLevel="0" collapsed="false">
      <c r="A108" s="7"/>
      <c r="B108" s="8"/>
      <c r="C108" s="8"/>
      <c r="D108" s="8"/>
      <c r="E108" s="9" t="str">
        <f aca="false">IF(A108="","",COUNTIF(Compromissos!A:A,A108)+COUNTIF(Transporte!A:A,A108))</f>
        <v/>
      </c>
      <c r="F108" s="9" t="str">
        <f aca="false">IF(A108="","",IF(AND(E108=0,C108=""),"Dia sem programa",""))</f>
        <v/>
      </c>
    </row>
    <row r="109" customFormat="false" ht="15" hidden="false" customHeight="false" outlineLevel="0" collapsed="false">
      <c r="A109" s="7"/>
      <c r="B109" s="8"/>
      <c r="C109" s="8"/>
      <c r="D109" s="8"/>
      <c r="E109" s="9" t="str">
        <f aca="false">IF(A109="","",COUNTIF(Compromissos!A:A,A109)+COUNTIF(Transporte!A:A,A109))</f>
        <v/>
      </c>
      <c r="F109" s="9" t="str">
        <f aca="false">IF(A109="","",IF(AND(E109=0,C109=""),"Dia sem programa",""))</f>
        <v/>
      </c>
    </row>
    <row r="110" customFormat="false" ht="15" hidden="false" customHeight="false" outlineLevel="0" collapsed="false">
      <c r="A110" s="7"/>
      <c r="B110" s="8"/>
      <c r="C110" s="8"/>
      <c r="D110" s="8"/>
      <c r="E110" s="9" t="str">
        <f aca="false">IF(A110="","",COUNTIF(Compromissos!A:A,A110)+COUNTIF(Transporte!A:A,A110))</f>
        <v/>
      </c>
      <c r="F110" s="9" t="str">
        <f aca="false">IF(A110="","",IF(AND(E110=0,C110=""),"Dia sem programa",""))</f>
        <v/>
      </c>
    </row>
    <row r="111" customFormat="false" ht="15" hidden="false" customHeight="false" outlineLevel="0" collapsed="false">
      <c r="A111" s="7"/>
      <c r="B111" s="8"/>
      <c r="C111" s="8"/>
      <c r="D111" s="8"/>
      <c r="E111" s="9" t="str">
        <f aca="false">IF(A111="","",COUNTIF(Compromissos!A:A,A111)+COUNTIF(Transporte!A:A,A111))</f>
        <v/>
      </c>
      <c r="F111" s="9" t="str">
        <f aca="false">IF(A111="","",IF(AND(E111=0,C111=""),"Dia sem programa",""))</f>
        <v/>
      </c>
    </row>
    <row r="112" customFormat="false" ht="15" hidden="false" customHeight="false" outlineLevel="0" collapsed="false">
      <c r="A112" s="7"/>
      <c r="B112" s="8"/>
      <c r="C112" s="8"/>
      <c r="D112" s="8"/>
      <c r="E112" s="9" t="str">
        <f aca="false">IF(A112="","",COUNTIF(Compromissos!A:A,A112)+COUNTIF(Transporte!A:A,A112))</f>
        <v/>
      </c>
      <c r="F112" s="9" t="str">
        <f aca="false">IF(A112="","",IF(AND(E112=0,C112=""),"Dia sem programa",""))</f>
        <v/>
      </c>
    </row>
    <row r="113" customFormat="false" ht="15" hidden="false" customHeight="false" outlineLevel="0" collapsed="false">
      <c r="A113" s="7"/>
      <c r="B113" s="8"/>
      <c r="C113" s="8"/>
      <c r="D113" s="8"/>
      <c r="E113" s="9" t="str">
        <f aca="false">IF(A113="","",COUNTIF(Compromissos!A:A,A113)+COUNTIF(Transporte!A:A,A113))</f>
        <v/>
      </c>
      <c r="F113" s="9" t="str">
        <f aca="false">IF(A113="","",IF(AND(E113=0,C113=""),"Dia sem programa",""))</f>
        <v/>
      </c>
    </row>
    <row r="114" customFormat="false" ht="15" hidden="false" customHeight="false" outlineLevel="0" collapsed="false">
      <c r="A114" s="7"/>
      <c r="B114" s="8"/>
      <c r="C114" s="8"/>
      <c r="D114" s="8"/>
      <c r="E114" s="9" t="str">
        <f aca="false">IF(A114="","",COUNTIF(Compromissos!A:A,A114)+COUNTIF(Transporte!A:A,A114))</f>
        <v/>
      </c>
      <c r="F114" s="9" t="str">
        <f aca="false">IF(A114="","",IF(AND(E114=0,C114=""),"Dia sem programa",""))</f>
        <v/>
      </c>
    </row>
    <row r="115" customFormat="false" ht="15" hidden="false" customHeight="false" outlineLevel="0" collapsed="false">
      <c r="A115" s="7"/>
      <c r="B115" s="8"/>
      <c r="C115" s="8"/>
      <c r="D115" s="8"/>
      <c r="E115" s="9" t="str">
        <f aca="false">IF(A115="","",COUNTIF(Compromissos!A:A,A115)+COUNTIF(Transporte!A:A,A115))</f>
        <v/>
      </c>
      <c r="F115" s="9" t="str">
        <f aca="false">IF(A115="","",IF(AND(E115=0,C115=""),"Dia sem programa",""))</f>
        <v/>
      </c>
    </row>
    <row r="116" customFormat="false" ht="15" hidden="false" customHeight="false" outlineLevel="0" collapsed="false">
      <c r="A116" s="7"/>
      <c r="B116" s="8"/>
      <c r="C116" s="8"/>
      <c r="D116" s="8"/>
      <c r="E116" s="9" t="str">
        <f aca="false">IF(A116="","",COUNTIF(Compromissos!A:A,A116)+COUNTIF(Transporte!A:A,A116))</f>
        <v/>
      </c>
      <c r="F116" s="9" t="str">
        <f aca="false">IF(A116="","",IF(AND(E116=0,C116=""),"Dia sem programa",""))</f>
        <v/>
      </c>
    </row>
    <row r="117" customFormat="false" ht="15" hidden="false" customHeight="false" outlineLevel="0" collapsed="false">
      <c r="A117" s="7"/>
      <c r="B117" s="8"/>
      <c r="C117" s="8"/>
      <c r="D117" s="8"/>
      <c r="E117" s="9" t="str">
        <f aca="false">IF(A117="","",COUNTIF(Compromissos!A:A,A117)+COUNTIF(Transporte!A:A,A117))</f>
        <v/>
      </c>
      <c r="F117" s="9" t="str">
        <f aca="false">IF(A117="","",IF(AND(E117=0,C117=""),"Dia sem programa",""))</f>
        <v/>
      </c>
    </row>
    <row r="118" customFormat="false" ht="15" hidden="false" customHeight="false" outlineLevel="0" collapsed="false">
      <c r="A118" s="7"/>
      <c r="B118" s="8"/>
      <c r="C118" s="8"/>
      <c r="D118" s="8"/>
      <c r="E118" s="9" t="str">
        <f aca="false">IF(A118="","",COUNTIF(Compromissos!A:A,A118)+COUNTIF(Transporte!A:A,A118))</f>
        <v/>
      </c>
      <c r="F118" s="9" t="str">
        <f aca="false">IF(A118="","",IF(AND(E118=0,C118=""),"Dia sem programa",""))</f>
        <v/>
      </c>
    </row>
    <row r="119" customFormat="false" ht="15" hidden="false" customHeight="false" outlineLevel="0" collapsed="false">
      <c r="A119" s="7"/>
      <c r="B119" s="8"/>
      <c r="C119" s="8"/>
      <c r="D119" s="8"/>
      <c r="E119" s="9" t="str">
        <f aca="false">IF(A119="","",COUNTIF(Compromissos!A:A,A119)+COUNTIF(Transporte!A:A,A119))</f>
        <v/>
      </c>
      <c r="F119" s="9" t="str">
        <f aca="false">IF(A119="","",IF(AND(E119=0,C119=""),"Dia sem programa",""))</f>
        <v/>
      </c>
    </row>
    <row r="120" customFormat="false" ht="15" hidden="false" customHeight="false" outlineLevel="0" collapsed="false">
      <c r="A120" s="7"/>
      <c r="B120" s="8"/>
      <c r="C120" s="8"/>
      <c r="D120" s="8"/>
      <c r="E120" s="9" t="str">
        <f aca="false">IF(A120="","",COUNTIF(Compromissos!A:A,A120)+COUNTIF(Transporte!A:A,A120))</f>
        <v/>
      </c>
      <c r="F120" s="9" t="str">
        <f aca="false">IF(A120="","",IF(AND(E120=0,C120=""),"Dia sem programa",""))</f>
        <v/>
      </c>
    </row>
    <row r="121" customFormat="false" ht="15" hidden="false" customHeight="false" outlineLevel="0" collapsed="false">
      <c r="A121" s="7"/>
      <c r="B121" s="8"/>
      <c r="C121" s="8"/>
      <c r="D121" s="8"/>
      <c r="E121" s="9" t="str">
        <f aca="false">IF(A121="","",COUNTIF(Compromissos!A:A,A121)+COUNTIF(Transporte!A:A,A121))</f>
        <v/>
      </c>
      <c r="F121" s="9" t="str">
        <f aca="false">IF(A121="","",IF(AND(E121=0,C121=""),"Dia sem programa",""))</f>
        <v/>
      </c>
    </row>
    <row r="122" customFormat="false" ht="15" hidden="false" customHeight="false" outlineLevel="0" collapsed="false">
      <c r="A122" s="7"/>
      <c r="B122" s="8"/>
      <c r="C122" s="8"/>
      <c r="D122" s="8"/>
      <c r="E122" s="9" t="str">
        <f aca="false">IF(A122="","",COUNTIF(Compromissos!A:A,A122)+COUNTIF(Transporte!A:A,A122))</f>
        <v/>
      </c>
      <c r="F122" s="9" t="str">
        <f aca="false">IF(A122="","",IF(AND(E122=0,C122=""),"Dia sem programa",""))</f>
        <v/>
      </c>
    </row>
    <row r="123" customFormat="false" ht="15" hidden="false" customHeight="false" outlineLevel="0" collapsed="false">
      <c r="A123" s="7"/>
      <c r="B123" s="8"/>
      <c r="C123" s="8"/>
      <c r="D123" s="8"/>
      <c r="E123" s="9" t="str">
        <f aca="false">IF(A123="","",COUNTIF(Compromissos!A:A,A123)+COUNTIF(Transporte!A:A,A123))</f>
        <v/>
      </c>
      <c r="F123" s="9" t="str">
        <f aca="false">IF(A123="","",IF(AND(E123=0,C123=""),"Dia sem programa",""))</f>
        <v/>
      </c>
    </row>
    <row r="124" customFormat="false" ht="15" hidden="false" customHeight="false" outlineLevel="0" collapsed="false">
      <c r="A124" s="7"/>
      <c r="B124" s="8"/>
      <c r="C124" s="8"/>
      <c r="D124" s="8"/>
      <c r="E124" s="9" t="str">
        <f aca="false">IF(A124="","",COUNTIF(Compromissos!A:A,A124)+COUNTIF(Transporte!A:A,A124))</f>
        <v/>
      </c>
      <c r="F124" s="9" t="str">
        <f aca="false">IF(A124="","",IF(AND(E124=0,C124=""),"Dia sem programa",""))</f>
        <v/>
      </c>
    </row>
    <row r="125" customFormat="false" ht="15" hidden="false" customHeight="false" outlineLevel="0" collapsed="false">
      <c r="A125" s="7"/>
      <c r="B125" s="8"/>
      <c r="C125" s="8"/>
      <c r="D125" s="8"/>
      <c r="E125" s="9" t="str">
        <f aca="false">IF(A125="","",COUNTIF(Compromissos!A:A,A125)+COUNTIF(Transporte!A:A,A125))</f>
        <v/>
      </c>
      <c r="F125" s="9" t="str">
        <f aca="false">IF(A125="","",IF(AND(E125=0,C125=""),"Dia sem programa",""))</f>
        <v/>
      </c>
    </row>
    <row r="126" customFormat="false" ht="15" hidden="false" customHeight="false" outlineLevel="0" collapsed="false">
      <c r="A126" s="7"/>
      <c r="B126" s="8"/>
      <c r="C126" s="8"/>
      <c r="D126" s="8"/>
      <c r="E126" s="9" t="str">
        <f aca="false">IF(A126="","",COUNTIF(Compromissos!A:A,A126)+COUNTIF(Transporte!A:A,A126))</f>
        <v/>
      </c>
      <c r="F126" s="9" t="str">
        <f aca="false">IF(A126="","",IF(AND(E126=0,C126=""),"Dia sem programa",""))</f>
        <v/>
      </c>
    </row>
    <row r="127" customFormat="false" ht="15" hidden="false" customHeight="false" outlineLevel="0" collapsed="false">
      <c r="A127" s="7"/>
      <c r="B127" s="8"/>
      <c r="C127" s="8"/>
      <c r="D127" s="8"/>
      <c r="E127" s="9" t="str">
        <f aca="false">IF(A127="","",COUNTIF(Compromissos!A:A,A127)+COUNTIF(Transporte!A:A,A127))</f>
        <v/>
      </c>
      <c r="F127" s="9" t="str">
        <f aca="false">IF(A127="","",IF(AND(E127=0,C127=""),"Dia sem programa",""))</f>
        <v/>
      </c>
    </row>
    <row r="128" customFormat="false" ht="15" hidden="false" customHeight="false" outlineLevel="0" collapsed="false">
      <c r="A128" s="7"/>
      <c r="B128" s="8"/>
      <c r="C128" s="8"/>
      <c r="D128" s="8"/>
      <c r="E128" s="9" t="str">
        <f aca="false">IF(A128="","",COUNTIF(Compromissos!A:A,A128)+COUNTIF(Transporte!A:A,A128))</f>
        <v/>
      </c>
      <c r="F128" s="9" t="str">
        <f aca="false">IF(A128="","",IF(AND(E128=0,C128=""),"Dia sem programa",""))</f>
        <v/>
      </c>
    </row>
    <row r="129" customFormat="false" ht="15" hidden="false" customHeight="false" outlineLevel="0" collapsed="false">
      <c r="A129" s="7"/>
      <c r="B129" s="8"/>
      <c r="C129" s="8"/>
      <c r="D129" s="8"/>
      <c r="E129" s="9" t="str">
        <f aca="false">IF(A129="","",COUNTIF(Compromissos!A:A,A129)+COUNTIF(Transporte!A:A,A129))</f>
        <v/>
      </c>
      <c r="F129" s="9" t="str">
        <f aca="false">IF(A129="","",IF(AND(E129=0,C129=""),"Dia sem programa",""))</f>
        <v/>
      </c>
    </row>
    <row r="130" customFormat="false" ht="15" hidden="false" customHeight="false" outlineLevel="0" collapsed="false">
      <c r="A130" s="7"/>
      <c r="B130" s="8"/>
      <c r="C130" s="8"/>
      <c r="D130" s="8"/>
      <c r="E130" s="9" t="str">
        <f aca="false">IF(A130="","",COUNTIF(Compromissos!A:A,A130)+COUNTIF(Transporte!A:A,A130))</f>
        <v/>
      </c>
      <c r="F130" s="9" t="str">
        <f aca="false">IF(A130="","",IF(AND(E130=0,C130=""),"Dia sem programa",""))</f>
        <v/>
      </c>
    </row>
    <row r="131" customFormat="false" ht="15" hidden="false" customHeight="false" outlineLevel="0" collapsed="false">
      <c r="A131" s="7"/>
      <c r="B131" s="8"/>
      <c r="C131" s="8"/>
      <c r="D131" s="8"/>
      <c r="E131" s="9" t="str">
        <f aca="false">IF(A131="","",COUNTIF(Compromissos!A:A,A131)+COUNTIF(Transporte!A:A,A131))</f>
        <v/>
      </c>
      <c r="F131" s="9" t="str">
        <f aca="false">IF(A131="","",IF(AND(E131=0,C131=""),"Dia sem programa",""))</f>
        <v/>
      </c>
    </row>
    <row r="132" customFormat="false" ht="15" hidden="false" customHeight="false" outlineLevel="0" collapsed="false">
      <c r="A132" s="7"/>
      <c r="B132" s="8"/>
      <c r="C132" s="8"/>
      <c r="D132" s="8"/>
      <c r="E132" s="9" t="str">
        <f aca="false">IF(A132="","",COUNTIF(Compromissos!A:A,A132)+COUNTIF(Transporte!A:A,A132))</f>
        <v/>
      </c>
      <c r="F132" s="9" t="str">
        <f aca="false">IF(A132="","",IF(AND(E132=0,C132=""),"Dia sem programa",""))</f>
        <v/>
      </c>
    </row>
    <row r="133" customFormat="false" ht="15" hidden="false" customHeight="false" outlineLevel="0" collapsed="false">
      <c r="A133" s="7"/>
      <c r="B133" s="8"/>
      <c r="C133" s="8"/>
      <c r="D133" s="8"/>
      <c r="E133" s="9" t="str">
        <f aca="false">IF(A133="","",COUNTIF(Compromissos!A:A,A133)+COUNTIF(Transporte!A:A,A133))</f>
        <v/>
      </c>
      <c r="F133" s="9" t="str">
        <f aca="false">IF(A133="","",IF(AND(E133=0,C133=""),"Dia sem programa",""))</f>
        <v/>
      </c>
    </row>
    <row r="134" customFormat="false" ht="15" hidden="false" customHeight="false" outlineLevel="0" collapsed="false">
      <c r="A134" s="7"/>
      <c r="B134" s="8"/>
      <c r="C134" s="8"/>
      <c r="D134" s="8"/>
      <c r="E134" s="9" t="str">
        <f aca="false">IF(A134="","",COUNTIF(Compromissos!A:A,A134)+COUNTIF(Transporte!A:A,A134))</f>
        <v/>
      </c>
      <c r="F134" s="9" t="str">
        <f aca="false">IF(A134="","",IF(AND(E134=0,C134=""),"Dia sem programa",""))</f>
        <v/>
      </c>
    </row>
    <row r="135" customFormat="false" ht="15" hidden="false" customHeight="false" outlineLevel="0" collapsed="false">
      <c r="A135" s="7"/>
      <c r="B135" s="8"/>
      <c r="C135" s="8"/>
      <c r="D135" s="8"/>
      <c r="E135" s="9" t="str">
        <f aca="false">IF(A135="","",COUNTIF(Compromissos!A:A,A135)+COUNTIF(Transporte!A:A,A135))</f>
        <v/>
      </c>
      <c r="F135" s="9" t="str">
        <f aca="false">IF(A135="","",IF(AND(E135=0,C135=""),"Dia sem programa",""))</f>
        <v/>
      </c>
    </row>
    <row r="136" customFormat="false" ht="15" hidden="false" customHeight="false" outlineLevel="0" collapsed="false">
      <c r="A136" s="7"/>
      <c r="B136" s="8"/>
      <c r="C136" s="8"/>
      <c r="D136" s="8"/>
      <c r="E136" s="9" t="str">
        <f aca="false">IF(A136="","",COUNTIF(Compromissos!A:A,A136)+COUNTIF(Transporte!A:A,A136))</f>
        <v/>
      </c>
      <c r="F136" s="9" t="str">
        <f aca="false">IF(A136="","",IF(AND(E136=0,C136=""),"Dia sem programa",""))</f>
        <v/>
      </c>
    </row>
    <row r="137" customFormat="false" ht="15" hidden="false" customHeight="false" outlineLevel="0" collapsed="false">
      <c r="A137" s="7"/>
      <c r="B137" s="8"/>
      <c r="C137" s="8"/>
      <c r="D137" s="8"/>
      <c r="E137" s="9" t="str">
        <f aca="false">IF(A137="","",COUNTIF(Compromissos!A:A,A137)+COUNTIF(Transporte!A:A,A137))</f>
        <v/>
      </c>
      <c r="F137" s="9" t="str">
        <f aca="false">IF(A137="","",IF(AND(E137=0,C137=""),"Dia sem programa",""))</f>
        <v/>
      </c>
    </row>
    <row r="138" customFormat="false" ht="15" hidden="false" customHeight="false" outlineLevel="0" collapsed="false">
      <c r="A138" s="7"/>
      <c r="B138" s="8"/>
      <c r="C138" s="8"/>
      <c r="D138" s="8"/>
      <c r="E138" s="9" t="str">
        <f aca="false">IF(A138="","",COUNTIF(Compromissos!A:A,A138)+COUNTIF(Transporte!A:A,A138))</f>
        <v/>
      </c>
      <c r="F138" s="9" t="str">
        <f aca="false">IF(A138="","",IF(AND(E138=0,C138=""),"Dia sem programa",""))</f>
        <v/>
      </c>
    </row>
    <row r="139" customFormat="false" ht="15" hidden="false" customHeight="false" outlineLevel="0" collapsed="false">
      <c r="A139" s="7"/>
      <c r="B139" s="8"/>
      <c r="C139" s="8"/>
      <c r="D139" s="8"/>
      <c r="E139" s="9" t="str">
        <f aca="false">IF(A139="","",COUNTIF(Compromissos!A:A,A139)+COUNTIF(Transporte!A:A,A139))</f>
        <v/>
      </c>
      <c r="F139" s="9" t="str">
        <f aca="false">IF(A139="","",IF(AND(E139=0,C139=""),"Dia sem programa",""))</f>
        <v/>
      </c>
    </row>
    <row r="140" customFormat="false" ht="15" hidden="false" customHeight="false" outlineLevel="0" collapsed="false">
      <c r="A140" s="7"/>
      <c r="B140" s="8"/>
      <c r="C140" s="8"/>
      <c r="D140" s="8"/>
      <c r="E140" s="9" t="str">
        <f aca="false">IF(A140="","",COUNTIF(Compromissos!A:A,A140)+COUNTIF(Transporte!A:A,A140))</f>
        <v/>
      </c>
      <c r="F140" s="9" t="str">
        <f aca="false">IF(A140="","",IF(AND(E140=0,C140=""),"Dia sem programa",""))</f>
        <v/>
      </c>
    </row>
    <row r="141" customFormat="false" ht="15" hidden="false" customHeight="false" outlineLevel="0" collapsed="false">
      <c r="A141" s="7"/>
      <c r="B141" s="8"/>
      <c r="C141" s="8"/>
      <c r="D141" s="8"/>
      <c r="E141" s="9" t="str">
        <f aca="false">IF(A141="","",COUNTIF(Compromissos!A:A,A141)+COUNTIF(Transporte!A:A,A141))</f>
        <v/>
      </c>
      <c r="F141" s="9" t="str">
        <f aca="false">IF(A141="","",IF(AND(E141=0,C141=""),"Dia sem programa",""))</f>
        <v/>
      </c>
    </row>
    <row r="142" customFormat="false" ht="15" hidden="false" customHeight="false" outlineLevel="0" collapsed="false">
      <c r="A142" s="7"/>
      <c r="B142" s="8"/>
      <c r="C142" s="8"/>
      <c r="D142" s="8"/>
      <c r="E142" s="9" t="str">
        <f aca="false">IF(A142="","",COUNTIF(Compromissos!A:A,A142)+COUNTIF(Transporte!A:A,A142))</f>
        <v/>
      </c>
      <c r="F142" s="9" t="str">
        <f aca="false">IF(A142="","",IF(AND(E142=0,C142=""),"Dia sem programa",""))</f>
        <v/>
      </c>
    </row>
    <row r="143" customFormat="false" ht="15" hidden="false" customHeight="false" outlineLevel="0" collapsed="false">
      <c r="A143" s="7"/>
      <c r="B143" s="8"/>
      <c r="C143" s="8"/>
      <c r="D143" s="8"/>
      <c r="E143" s="9" t="str">
        <f aca="false">IF(A143="","",COUNTIF(Compromissos!A:A,A143)+COUNTIF(Transporte!A:A,A143))</f>
        <v/>
      </c>
      <c r="F143" s="9" t="str">
        <f aca="false">IF(A143="","",IF(AND(E143=0,C143=""),"Dia sem programa",""))</f>
        <v/>
      </c>
    </row>
    <row r="144" customFormat="false" ht="15" hidden="false" customHeight="false" outlineLevel="0" collapsed="false">
      <c r="A144" s="7"/>
      <c r="B144" s="8"/>
      <c r="C144" s="8"/>
      <c r="D144" s="8"/>
      <c r="E144" s="9" t="str">
        <f aca="false">IF(A144="","",COUNTIF(Compromissos!A:A,A144)+COUNTIF(Transporte!A:A,A144))</f>
        <v/>
      </c>
      <c r="F144" s="9" t="str">
        <f aca="false">IF(A144="","",IF(AND(E144=0,C144=""),"Dia sem programa",""))</f>
        <v/>
      </c>
    </row>
    <row r="145" customFormat="false" ht="15" hidden="false" customHeight="false" outlineLevel="0" collapsed="false">
      <c r="A145" s="7"/>
      <c r="B145" s="8"/>
      <c r="C145" s="8"/>
      <c r="D145" s="8"/>
      <c r="E145" s="9" t="str">
        <f aca="false">IF(A145="","",COUNTIF(Compromissos!A:A,A145)+COUNTIF(Transporte!A:A,A145))</f>
        <v/>
      </c>
      <c r="F145" s="9" t="str">
        <f aca="false">IF(A145="","",IF(AND(E145=0,C145=""),"Dia sem programa",""))</f>
        <v/>
      </c>
    </row>
    <row r="146" customFormat="false" ht="15" hidden="false" customHeight="false" outlineLevel="0" collapsed="false">
      <c r="A146" s="7"/>
      <c r="B146" s="8"/>
      <c r="C146" s="8"/>
      <c r="D146" s="8"/>
      <c r="E146" s="9" t="str">
        <f aca="false">IF(A146="","",COUNTIF(Compromissos!A:A,A146)+COUNTIF(Transporte!A:A,A146))</f>
        <v/>
      </c>
      <c r="F146" s="9" t="str">
        <f aca="false">IF(A146="","",IF(AND(E146=0,C146=""),"Dia sem programa",""))</f>
        <v/>
      </c>
    </row>
    <row r="147" customFormat="false" ht="15" hidden="false" customHeight="false" outlineLevel="0" collapsed="false">
      <c r="A147" s="7"/>
      <c r="B147" s="8"/>
      <c r="C147" s="8"/>
      <c r="D147" s="8"/>
      <c r="E147" s="9" t="str">
        <f aca="false">IF(A147="","",COUNTIF(Compromissos!A:A,A147)+COUNTIF(Transporte!A:A,A147))</f>
        <v/>
      </c>
      <c r="F147" s="9" t="str">
        <f aca="false">IF(A147="","",IF(AND(E147=0,C147=""),"Dia sem programa",""))</f>
        <v/>
      </c>
    </row>
    <row r="148" customFormat="false" ht="15" hidden="false" customHeight="false" outlineLevel="0" collapsed="false">
      <c r="A148" s="7"/>
      <c r="B148" s="8"/>
      <c r="C148" s="8"/>
      <c r="D148" s="8"/>
      <c r="E148" s="9" t="str">
        <f aca="false">IF(A148="","",COUNTIF(Compromissos!A:A,A148)+COUNTIF(Transporte!A:A,A148))</f>
        <v/>
      </c>
      <c r="F148" s="9" t="str">
        <f aca="false">IF(A148="","",IF(AND(E148=0,C148=""),"Dia sem programa",""))</f>
        <v/>
      </c>
    </row>
    <row r="149" customFormat="false" ht="15" hidden="false" customHeight="false" outlineLevel="0" collapsed="false">
      <c r="A149" s="7"/>
      <c r="B149" s="8"/>
      <c r="C149" s="8"/>
      <c r="D149" s="8"/>
      <c r="E149" s="9" t="str">
        <f aca="false">IF(A149="","",COUNTIF(Compromissos!A:A,A149)+COUNTIF(Transporte!A:A,A149))</f>
        <v/>
      </c>
      <c r="F149" s="9" t="str">
        <f aca="false">IF(A149="","",IF(AND(E149=0,C149=""),"Dia sem programa",""))</f>
        <v/>
      </c>
    </row>
    <row r="150" customFormat="false" ht="15" hidden="false" customHeight="false" outlineLevel="0" collapsed="false">
      <c r="A150" s="7"/>
      <c r="B150" s="8"/>
      <c r="C150" s="8"/>
      <c r="D150" s="8"/>
      <c r="E150" s="9" t="str">
        <f aca="false">IF(A150="","",COUNTIF(Compromissos!A:A,A150)+COUNTIF(Transporte!A:A,A150))</f>
        <v/>
      </c>
      <c r="F150" s="9" t="str">
        <f aca="false">IF(A150="","",IF(AND(E150=0,C150=""),"Dia sem programa",""))</f>
        <v/>
      </c>
    </row>
    <row r="151" customFormat="false" ht="15" hidden="false" customHeight="false" outlineLevel="0" collapsed="false">
      <c r="A151" s="7"/>
      <c r="B151" s="8"/>
      <c r="C151" s="8"/>
      <c r="D151" s="8"/>
      <c r="E151" s="9" t="str">
        <f aca="false">IF(A151="","",COUNTIF(Compromissos!A:A,A151)+COUNTIF(Transporte!A:A,A151))</f>
        <v/>
      </c>
      <c r="F151" s="9" t="str">
        <f aca="false">IF(A151="","",IF(AND(E151=0,C151=""),"Dia sem programa",""))</f>
        <v/>
      </c>
    </row>
    <row r="152" customFormat="false" ht="15" hidden="false" customHeight="false" outlineLevel="0" collapsed="false">
      <c r="A152" s="7"/>
      <c r="B152" s="8"/>
      <c r="C152" s="8"/>
      <c r="D152" s="8"/>
      <c r="E152" s="9" t="str">
        <f aca="false">IF(A152="","",COUNTIF(Compromissos!A:A,A152)+COUNTIF(Transporte!A:A,A152))</f>
        <v/>
      </c>
      <c r="F152" s="9" t="str">
        <f aca="false">IF(A152="","",IF(AND(E152=0,C152=""),"Dia sem programa",""))</f>
        <v/>
      </c>
    </row>
    <row r="153" customFormat="false" ht="15" hidden="false" customHeight="false" outlineLevel="0" collapsed="false">
      <c r="A153" s="7"/>
      <c r="B153" s="8"/>
      <c r="C153" s="8"/>
      <c r="D153" s="8"/>
      <c r="E153" s="9" t="str">
        <f aca="false">IF(A153="","",COUNTIF(Compromissos!A:A,A153)+COUNTIF(Transporte!A:A,A153))</f>
        <v/>
      </c>
      <c r="F153" s="9" t="str">
        <f aca="false">IF(A153="","",IF(AND(E153=0,C153=""),"Dia sem programa",""))</f>
        <v/>
      </c>
    </row>
    <row r="154" customFormat="false" ht="15" hidden="false" customHeight="false" outlineLevel="0" collapsed="false">
      <c r="A154" s="7"/>
      <c r="B154" s="8"/>
      <c r="C154" s="8"/>
      <c r="D154" s="8"/>
      <c r="E154" s="9" t="str">
        <f aca="false">IF(A154="","",COUNTIF(Compromissos!A:A,A154)+COUNTIF(Transporte!A:A,A154))</f>
        <v/>
      </c>
      <c r="F154" s="9" t="str">
        <f aca="false">IF(A154="","",IF(AND(E154=0,C154=""),"Dia sem programa",""))</f>
        <v/>
      </c>
    </row>
    <row r="155" customFormat="false" ht="15" hidden="false" customHeight="false" outlineLevel="0" collapsed="false">
      <c r="A155" s="7"/>
      <c r="B155" s="8"/>
      <c r="C155" s="8"/>
      <c r="D155" s="8"/>
      <c r="E155" s="9" t="str">
        <f aca="false">IF(A155="","",COUNTIF(Compromissos!A:A,A155)+COUNTIF(Transporte!A:A,A155))</f>
        <v/>
      </c>
      <c r="F155" s="9" t="str">
        <f aca="false">IF(A155="","",IF(AND(E155=0,C155=""),"Dia sem programa",""))</f>
        <v/>
      </c>
    </row>
    <row r="156" customFormat="false" ht="15" hidden="false" customHeight="false" outlineLevel="0" collapsed="false">
      <c r="A156" s="7"/>
      <c r="B156" s="8"/>
      <c r="C156" s="8"/>
      <c r="D156" s="8"/>
      <c r="E156" s="9" t="str">
        <f aca="false">IF(A156="","",COUNTIF(Compromissos!A:A,A156)+COUNTIF(Transporte!A:A,A156))</f>
        <v/>
      </c>
      <c r="F156" s="9" t="str">
        <f aca="false">IF(A156="","",IF(AND(E156=0,C156=""),"Dia sem programa",""))</f>
        <v/>
      </c>
    </row>
    <row r="157" customFormat="false" ht="15" hidden="false" customHeight="false" outlineLevel="0" collapsed="false">
      <c r="A157" s="7"/>
      <c r="B157" s="8"/>
      <c r="C157" s="8"/>
      <c r="D157" s="8"/>
      <c r="E157" s="9" t="str">
        <f aca="false">IF(A157="","",COUNTIF(Compromissos!A:A,A157)+COUNTIF(Transporte!A:A,A157))</f>
        <v/>
      </c>
      <c r="F157" s="9" t="str">
        <f aca="false">IF(A157="","",IF(AND(E157=0,C157=""),"Dia sem programa",""))</f>
        <v/>
      </c>
    </row>
    <row r="158" customFormat="false" ht="15" hidden="false" customHeight="false" outlineLevel="0" collapsed="false">
      <c r="A158" s="7"/>
      <c r="B158" s="8"/>
      <c r="C158" s="8"/>
      <c r="D158" s="8"/>
      <c r="E158" s="9" t="str">
        <f aca="false">IF(A158="","",COUNTIF(Compromissos!A:A,A158)+COUNTIF(Transporte!A:A,A158))</f>
        <v/>
      </c>
      <c r="F158" s="9" t="str">
        <f aca="false">IF(A158="","",IF(AND(E158=0,C158=""),"Dia sem programa",""))</f>
        <v/>
      </c>
    </row>
    <row r="159" customFormat="false" ht="15" hidden="false" customHeight="false" outlineLevel="0" collapsed="false">
      <c r="A159" s="7"/>
      <c r="B159" s="8"/>
      <c r="C159" s="8"/>
      <c r="D159" s="8"/>
      <c r="E159" s="9" t="str">
        <f aca="false">IF(A159="","",COUNTIF(Compromissos!A:A,A159)+COUNTIF(Transporte!A:A,A159))</f>
        <v/>
      </c>
      <c r="F159" s="9" t="str">
        <f aca="false">IF(A159="","",IF(AND(E159=0,C159=""),"Dia sem programa",""))</f>
        <v/>
      </c>
    </row>
    <row r="160" customFormat="false" ht="15" hidden="false" customHeight="false" outlineLevel="0" collapsed="false">
      <c r="A160" s="7"/>
      <c r="B160" s="8"/>
      <c r="C160" s="8"/>
      <c r="D160" s="8"/>
      <c r="E160" s="9" t="str">
        <f aca="false">IF(A160="","",COUNTIF(Compromissos!A:A,A160)+COUNTIF(Transporte!A:A,A160))</f>
        <v/>
      </c>
      <c r="F160" s="9" t="str">
        <f aca="false">IF(A160="","",IF(AND(E160=0,C160=""),"Dia sem programa",""))</f>
        <v/>
      </c>
    </row>
    <row r="161" customFormat="false" ht="15" hidden="false" customHeight="false" outlineLevel="0" collapsed="false">
      <c r="A161" s="7"/>
      <c r="B161" s="8"/>
      <c r="C161" s="8"/>
      <c r="D161" s="8"/>
      <c r="E161" s="9" t="str">
        <f aca="false">IF(A161="","",COUNTIF(Compromissos!A:A,A161)+COUNTIF(Transporte!A:A,A161))</f>
        <v/>
      </c>
      <c r="F161" s="9" t="str">
        <f aca="false">IF(A161="","",IF(AND(E161=0,C161=""),"Dia sem programa",""))</f>
        <v/>
      </c>
    </row>
    <row r="162" customFormat="false" ht="15" hidden="false" customHeight="false" outlineLevel="0" collapsed="false">
      <c r="A162" s="7"/>
      <c r="B162" s="8"/>
      <c r="C162" s="8"/>
      <c r="D162" s="8"/>
      <c r="E162" s="9" t="str">
        <f aca="false">IF(A162="","",COUNTIF(Compromissos!A:A,A162)+COUNTIF(Transporte!A:A,A162))</f>
        <v/>
      </c>
      <c r="F162" s="9" t="str">
        <f aca="false">IF(A162="","",IF(AND(E162=0,C162=""),"Dia sem programa",""))</f>
        <v/>
      </c>
    </row>
    <row r="163" customFormat="false" ht="15" hidden="false" customHeight="false" outlineLevel="0" collapsed="false">
      <c r="A163" s="7"/>
      <c r="B163" s="8"/>
      <c r="C163" s="8"/>
      <c r="D163" s="8"/>
      <c r="E163" s="9" t="str">
        <f aca="false">IF(A163="","",COUNTIF(Compromissos!A:A,A163)+COUNTIF(Transporte!A:A,A163))</f>
        <v/>
      </c>
      <c r="F163" s="9" t="str">
        <f aca="false">IF(A163="","",IF(AND(E163=0,C163=""),"Dia sem programa",""))</f>
        <v/>
      </c>
    </row>
    <row r="164" customFormat="false" ht="15" hidden="false" customHeight="false" outlineLevel="0" collapsed="false">
      <c r="A164" s="7"/>
      <c r="B164" s="8"/>
      <c r="C164" s="8"/>
      <c r="D164" s="8"/>
      <c r="E164" s="9" t="str">
        <f aca="false">IF(A164="","",COUNTIF(Compromissos!A:A,A164)+COUNTIF(Transporte!A:A,A164))</f>
        <v/>
      </c>
      <c r="F164" s="9" t="str">
        <f aca="false">IF(A164="","",IF(AND(E164=0,C164=""),"Dia sem programa",""))</f>
        <v/>
      </c>
    </row>
    <row r="165" customFormat="false" ht="15" hidden="false" customHeight="false" outlineLevel="0" collapsed="false">
      <c r="A165" s="7"/>
      <c r="B165" s="8"/>
      <c r="C165" s="8"/>
      <c r="D165" s="8"/>
      <c r="E165" s="9" t="str">
        <f aca="false">IF(A165="","",COUNTIF(Compromissos!A:A,A165)+COUNTIF(Transporte!A:A,A165))</f>
        <v/>
      </c>
      <c r="F165" s="9" t="str">
        <f aca="false">IF(A165="","",IF(AND(E165=0,C165=""),"Dia sem programa",""))</f>
        <v/>
      </c>
    </row>
    <row r="166" customFormat="false" ht="15" hidden="false" customHeight="false" outlineLevel="0" collapsed="false">
      <c r="A166" s="7"/>
      <c r="B166" s="8"/>
      <c r="C166" s="8"/>
      <c r="D166" s="8"/>
      <c r="E166" s="9" t="str">
        <f aca="false">IF(A166="","",COUNTIF(Compromissos!A:A,A166)+COUNTIF(Transporte!A:A,A166))</f>
        <v/>
      </c>
      <c r="F166" s="9" t="str">
        <f aca="false">IF(A166="","",IF(AND(E166=0,C166=""),"Dia sem programa",""))</f>
        <v/>
      </c>
    </row>
    <row r="167" customFormat="false" ht="15" hidden="false" customHeight="false" outlineLevel="0" collapsed="false">
      <c r="A167" s="7"/>
      <c r="B167" s="8"/>
      <c r="C167" s="8"/>
      <c r="D167" s="8"/>
      <c r="E167" s="9" t="str">
        <f aca="false">IF(A167="","",COUNTIF(Compromissos!A:A,A167)+COUNTIF(Transporte!A:A,A167))</f>
        <v/>
      </c>
      <c r="F167" s="9" t="str">
        <f aca="false">IF(A167="","",IF(AND(E167=0,C167=""),"Dia sem programa",""))</f>
        <v/>
      </c>
    </row>
    <row r="168" customFormat="false" ht="15" hidden="false" customHeight="false" outlineLevel="0" collapsed="false">
      <c r="A168" s="7"/>
      <c r="B168" s="8"/>
      <c r="C168" s="8"/>
      <c r="D168" s="8"/>
      <c r="E168" s="9" t="str">
        <f aca="false">IF(A168="","",COUNTIF(Compromissos!A:A,A168)+COUNTIF(Transporte!A:A,A168))</f>
        <v/>
      </c>
      <c r="F168" s="9" t="str">
        <f aca="false">IF(A168="","",IF(AND(E168=0,C168=""),"Dia sem programa",""))</f>
        <v/>
      </c>
    </row>
    <row r="169" customFormat="false" ht="15" hidden="false" customHeight="false" outlineLevel="0" collapsed="false">
      <c r="A169" s="7"/>
      <c r="B169" s="8"/>
      <c r="C169" s="8"/>
      <c r="D169" s="8"/>
      <c r="E169" s="9" t="str">
        <f aca="false">IF(A169="","",COUNTIF(Compromissos!A:A,A169)+COUNTIF(Transporte!A:A,A169))</f>
        <v/>
      </c>
      <c r="F169" s="9" t="str">
        <f aca="false">IF(A169="","",IF(AND(E169=0,C169=""),"Dia sem programa",""))</f>
        <v/>
      </c>
    </row>
    <row r="170" customFormat="false" ht="15" hidden="false" customHeight="false" outlineLevel="0" collapsed="false">
      <c r="A170" s="7"/>
      <c r="B170" s="8"/>
      <c r="C170" s="8"/>
      <c r="D170" s="8"/>
      <c r="E170" s="9" t="str">
        <f aca="false">IF(A170="","",COUNTIF(Compromissos!A:A,A170)+COUNTIF(Transporte!A:A,A170))</f>
        <v/>
      </c>
      <c r="F170" s="9" t="str">
        <f aca="false">IF(A170="","",IF(AND(E170=0,C170=""),"Dia sem programa",""))</f>
        <v/>
      </c>
    </row>
    <row r="171" customFormat="false" ht="15" hidden="false" customHeight="false" outlineLevel="0" collapsed="false">
      <c r="A171" s="7"/>
      <c r="B171" s="8"/>
      <c r="C171" s="8"/>
      <c r="D171" s="8"/>
      <c r="E171" s="9" t="str">
        <f aca="false">IF(A171="","",COUNTIF(Compromissos!A:A,A171)+COUNTIF(Transporte!A:A,A171))</f>
        <v/>
      </c>
      <c r="F171" s="9" t="str">
        <f aca="false">IF(A171="","",IF(AND(E171=0,C171=""),"Dia sem programa",""))</f>
        <v/>
      </c>
    </row>
    <row r="172" customFormat="false" ht="15" hidden="false" customHeight="false" outlineLevel="0" collapsed="false">
      <c r="A172" s="7"/>
      <c r="B172" s="8"/>
      <c r="C172" s="8"/>
      <c r="D172" s="8"/>
      <c r="E172" s="9" t="str">
        <f aca="false">IF(A172="","",COUNTIF(Compromissos!A:A,A172)+COUNTIF(Transporte!A:A,A172))</f>
        <v/>
      </c>
      <c r="F172" s="9" t="str">
        <f aca="false">IF(A172="","",IF(AND(E172=0,C172=""),"Dia sem programa",""))</f>
        <v/>
      </c>
    </row>
    <row r="173" customFormat="false" ht="15" hidden="false" customHeight="false" outlineLevel="0" collapsed="false">
      <c r="A173" s="7"/>
      <c r="B173" s="8"/>
      <c r="C173" s="8"/>
      <c r="D173" s="8"/>
      <c r="E173" s="9" t="str">
        <f aca="false">IF(A173="","",COUNTIF(Compromissos!A:A,A173)+COUNTIF(Transporte!A:A,A173))</f>
        <v/>
      </c>
      <c r="F173" s="9" t="str">
        <f aca="false">IF(A173="","",IF(AND(E173=0,C173=""),"Dia sem programa",""))</f>
        <v/>
      </c>
    </row>
    <row r="174" customFormat="false" ht="15" hidden="false" customHeight="false" outlineLevel="0" collapsed="false">
      <c r="A174" s="7"/>
      <c r="B174" s="8"/>
      <c r="C174" s="8"/>
      <c r="D174" s="8"/>
      <c r="E174" s="9" t="str">
        <f aca="false">IF(A174="","",COUNTIF(Compromissos!A:A,A174)+COUNTIF(Transporte!A:A,A174))</f>
        <v/>
      </c>
      <c r="F174" s="9" t="str">
        <f aca="false">IF(A174="","",IF(AND(E174=0,C174=""),"Dia sem programa",""))</f>
        <v/>
      </c>
    </row>
    <row r="175" customFormat="false" ht="15" hidden="false" customHeight="false" outlineLevel="0" collapsed="false">
      <c r="A175" s="7"/>
      <c r="B175" s="8"/>
      <c r="C175" s="8"/>
      <c r="D175" s="8"/>
      <c r="E175" s="9" t="str">
        <f aca="false">IF(A175="","",COUNTIF(Compromissos!A:A,A175)+COUNTIF(Transporte!A:A,A175))</f>
        <v/>
      </c>
      <c r="F175" s="9" t="str">
        <f aca="false">IF(A175="","",IF(AND(E175=0,C175=""),"Dia sem programa",""))</f>
        <v/>
      </c>
    </row>
    <row r="176" customFormat="false" ht="15" hidden="false" customHeight="false" outlineLevel="0" collapsed="false">
      <c r="A176" s="7"/>
      <c r="B176" s="8"/>
      <c r="C176" s="8"/>
      <c r="D176" s="8"/>
      <c r="E176" s="9" t="str">
        <f aca="false">IF(A176="","",COUNTIF(Compromissos!A:A,A176)+COUNTIF(Transporte!A:A,A176))</f>
        <v/>
      </c>
      <c r="F176" s="9" t="str">
        <f aca="false">IF(A176="","",IF(AND(E176=0,C176=""),"Dia sem programa",""))</f>
        <v/>
      </c>
    </row>
    <row r="177" customFormat="false" ht="15" hidden="false" customHeight="false" outlineLevel="0" collapsed="false">
      <c r="A177" s="7"/>
      <c r="B177" s="8"/>
      <c r="C177" s="8"/>
      <c r="D177" s="8"/>
      <c r="E177" s="9" t="str">
        <f aca="false">IF(A177="","",COUNTIF(Compromissos!A:A,A177)+COUNTIF(Transporte!A:A,A177))</f>
        <v/>
      </c>
      <c r="F177" s="9" t="str">
        <f aca="false">IF(A177="","",IF(AND(E177=0,C177=""),"Dia sem programa",""))</f>
        <v/>
      </c>
    </row>
    <row r="178" customFormat="false" ht="15" hidden="false" customHeight="false" outlineLevel="0" collapsed="false">
      <c r="A178" s="7"/>
      <c r="B178" s="8"/>
      <c r="C178" s="8"/>
      <c r="D178" s="8"/>
      <c r="E178" s="9" t="str">
        <f aca="false">IF(A178="","",COUNTIF(Compromissos!A:A,A178)+COUNTIF(Transporte!A:A,A178))</f>
        <v/>
      </c>
      <c r="F178" s="9" t="str">
        <f aca="false">IF(A178="","",IF(AND(E178=0,C178=""),"Dia sem programa",""))</f>
        <v/>
      </c>
    </row>
    <row r="179" customFormat="false" ht="15" hidden="false" customHeight="false" outlineLevel="0" collapsed="false">
      <c r="A179" s="7"/>
      <c r="B179" s="8"/>
      <c r="C179" s="8"/>
      <c r="D179" s="8"/>
      <c r="E179" s="9" t="str">
        <f aca="false">IF(A179="","",COUNTIF(Compromissos!A:A,A179)+COUNTIF(Transporte!A:A,A179))</f>
        <v/>
      </c>
      <c r="F179" s="9" t="str">
        <f aca="false">IF(A179="","",IF(AND(E179=0,C179=""),"Dia sem programa",""))</f>
        <v/>
      </c>
    </row>
    <row r="180" customFormat="false" ht="15" hidden="false" customHeight="false" outlineLevel="0" collapsed="false">
      <c r="A180" s="7"/>
      <c r="B180" s="8"/>
      <c r="C180" s="8"/>
      <c r="D180" s="8"/>
      <c r="E180" s="9" t="str">
        <f aca="false">IF(A180="","",COUNTIF(Compromissos!A:A,A180)+COUNTIF(Transporte!A:A,A180))</f>
        <v/>
      </c>
      <c r="F180" s="9" t="str">
        <f aca="false">IF(A180="","",IF(AND(E180=0,C180=""),"Dia sem programa",""))</f>
        <v/>
      </c>
    </row>
    <row r="181" customFormat="false" ht="15" hidden="false" customHeight="false" outlineLevel="0" collapsed="false">
      <c r="A181" s="7"/>
      <c r="B181" s="8"/>
      <c r="C181" s="8"/>
      <c r="D181" s="8"/>
      <c r="E181" s="9" t="str">
        <f aca="false">IF(A181="","",COUNTIF(Compromissos!A:A,A181)+COUNTIF(Transporte!A:A,A181))</f>
        <v/>
      </c>
      <c r="F181" s="9" t="str">
        <f aca="false">IF(A181="","",IF(AND(E181=0,C181=""),"Dia sem programa",""))</f>
        <v/>
      </c>
    </row>
    <row r="182" customFormat="false" ht="15" hidden="false" customHeight="false" outlineLevel="0" collapsed="false">
      <c r="A182" s="7"/>
      <c r="B182" s="8"/>
      <c r="C182" s="8"/>
      <c r="D182" s="8"/>
      <c r="E182" s="9" t="str">
        <f aca="false">IF(A182="","",COUNTIF(Compromissos!A:A,A182)+COUNTIF(Transporte!A:A,A182))</f>
        <v/>
      </c>
      <c r="F182" s="9" t="str">
        <f aca="false">IF(A182="","",IF(AND(E182=0,C182=""),"Dia sem programa",""))</f>
        <v/>
      </c>
    </row>
    <row r="183" customFormat="false" ht="15" hidden="false" customHeight="false" outlineLevel="0" collapsed="false">
      <c r="A183" s="7"/>
      <c r="B183" s="8"/>
      <c r="C183" s="8"/>
      <c r="D183" s="8"/>
      <c r="E183" s="9" t="str">
        <f aca="false">IF(A183="","",COUNTIF(Compromissos!A:A,A183)+COUNTIF(Transporte!A:A,A183))</f>
        <v/>
      </c>
      <c r="F183" s="9" t="str">
        <f aca="false">IF(A183="","",IF(AND(E183=0,C183=""),"Dia sem programa",""))</f>
        <v/>
      </c>
    </row>
    <row r="184" customFormat="false" ht="15" hidden="false" customHeight="false" outlineLevel="0" collapsed="false">
      <c r="A184" s="7"/>
      <c r="B184" s="8"/>
      <c r="C184" s="8"/>
      <c r="D184" s="8"/>
      <c r="E184" s="9" t="str">
        <f aca="false">IF(A184="","",COUNTIF(Compromissos!A:A,A184)+COUNTIF(Transporte!A:A,A184))</f>
        <v/>
      </c>
      <c r="F184" s="9" t="str">
        <f aca="false">IF(A184="","",IF(AND(E184=0,C184=""),"Dia sem programa",""))</f>
        <v/>
      </c>
    </row>
    <row r="185" customFormat="false" ht="15" hidden="false" customHeight="false" outlineLevel="0" collapsed="false">
      <c r="A185" s="7"/>
      <c r="B185" s="8"/>
      <c r="C185" s="8"/>
      <c r="D185" s="8"/>
      <c r="E185" s="9" t="str">
        <f aca="false">IF(A185="","",COUNTIF(Compromissos!A:A,A185)+COUNTIF(Transporte!A:A,A185))</f>
        <v/>
      </c>
      <c r="F185" s="9" t="str">
        <f aca="false">IF(A185="","",IF(AND(E185=0,C185=""),"Dia sem programa",""))</f>
        <v/>
      </c>
    </row>
    <row r="186" customFormat="false" ht="15" hidden="false" customHeight="false" outlineLevel="0" collapsed="false">
      <c r="A186" s="7"/>
      <c r="B186" s="8"/>
      <c r="C186" s="8"/>
      <c r="D186" s="8"/>
      <c r="E186" s="9" t="str">
        <f aca="false">IF(A186="","",COUNTIF(Compromissos!A:A,A186)+COUNTIF(Transporte!A:A,A186))</f>
        <v/>
      </c>
      <c r="F186" s="9" t="str">
        <f aca="false">IF(A186="","",IF(AND(E186=0,C186=""),"Dia sem programa",""))</f>
        <v/>
      </c>
    </row>
    <row r="187" customFormat="false" ht="15" hidden="false" customHeight="false" outlineLevel="0" collapsed="false">
      <c r="A187" s="7"/>
      <c r="B187" s="8"/>
      <c r="C187" s="8"/>
      <c r="D187" s="8"/>
      <c r="E187" s="9" t="str">
        <f aca="false">IF(A187="","",COUNTIF(Compromissos!A:A,A187)+COUNTIF(Transporte!A:A,A187))</f>
        <v/>
      </c>
      <c r="F187" s="9" t="str">
        <f aca="false">IF(A187="","",IF(AND(E187=0,C187=""),"Dia sem programa",""))</f>
        <v/>
      </c>
    </row>
    <row r="188" customFormat="false" ht="15" hidden="false" customHeight="false" outlineLevel="0" collapsed="false">
      <c r="A188" s="7"/>
      <c r="B188" s="8"/>
      <c r="C188" s="8"/>
      <c r="D188" s="8"/>
      <c r="E188" s="9" t="str">
        <f aca="false">IF(A188="","",COUNTIF(Compromissos!A:A,A188)+COUNTIF(Transporte!A:A,A188))</f>
        <v/>
      </c>
      <c r="F188" s="9" t="str">
        <f aca="false">IF(A188="","",IF(AND(E188=0,C188=""),"Dia sem programa",""))</f>
        <v/>
      </c>
    </row>
    <row r="189" customFormat="false" ht="15" hidden="false" customHeight="false" outlineLevel="0" collapsed="false">
      <c r="A189" s="7"/>
      <c r="B189" s="8"/>
      <c r="C189" s="8"/>
      <c r="D189" s="8"/>
      <c r="E189" s="9" t="str">
        <f aca="false">IF(A189="","",COUNTIF(Compromissos!A:A,A189)+COUNTIF(Transporte!A:A,A189))</f>
        <v/>
      </c>
      <c r="F189" s="9" t="str">
        <f aca="false">IF(A189="","",IF(AND(E189=0,C189=""),"Dia sem programa",""))</f>
        <v/>
      </c>
    </row>
    <row r="190" customFormat="false" ht="15" hidden="false" customHeight="false" outlineLevel="0" collapsed="false">
      <c r="A190" s="7"/>
      <c r="B190" s="8"/>
      <c r="C190" s="8"/>
      <c r="D190" s="8"/>
      <c r="E190" s="9" t="str">
        <f aca="false">IF(A190="","",COUNTIF(Compromissos!A:A,A190)+COUNTIF(Transporte!A:A,A190))</f>
        <v/>
      </c>
      <c r="F190" s="9" t="str">
        <f aca="false">IF(A190="","",IF(AND(E190=0,C190=""),"Dia sem programa",""))</f>
        <v/>
      </c>
    </row>
    <row r="191" customFormat="false" ht="15" hidden="false" customHeight="false" outlineLevel="0" collapsed="false">
      <c r="A191" s="7"/>
      <c r="B191" s="8"/>
      <c r="C191" s="8"/>
      <c r="D191" s="8"/>
      <c r="E191" s="9" t="str">
        <f aca="false">IF(A191="","",COUNTIF(Compromissos!A:A,A191)+COUNTIF(Transporte!A:A,A191))</f>
        <v/>
      </c>
      <c r="F191" s="9" t="str">
        <f aca="false">IF(A191="","",IF(AND(E191=0,C191=""),"Dia sem programa",""))</f>
        <v/>
      </c>
    </row>
    <row r="192" customFormat="false" ht="15" hidden="false" customHeight="false" outlineLevel="0" collapsed="false">
      <c r="A192" s="7"/>
      <c r="B192" s="8"/>
      <c r="C192" s="8"/>
      <c r="D192" s="8"/>
      <c r="E192" s="9" t="str">
        <f aca="false">IF(A192="","",COUNTIF(Compromissos!A:A,A192)+COUNTIF(Transporte!A:A,A192))</f>
        <v/>
      </c>
      <c r="F192" s="9" t="str">
        <f aca="false">IF(A192="","",IF(AND(E192=0,C192=""),"Dia sem programa",""))</f>
        <v/>
      </c>
    </row>
    <row r="193" customFormat="false" ht="15" hidden="false" customHeight="false" outlineLevel="0" collapsed="false">
      <c r="A193" s="7"/>
      <c r="B193" s="8"/>
      <c r="C193" s="8"/>
      <c r="D193" s="8"/>
      <c r="E193" s="9" t="str">
        <f aca="false">IF(A193="","",COUNTIF(Compromissos!A:A,A193)+COUNTIF(Transporte!A:A,A193))</f>
        <v/>
      </c>
      <c r="F193" s="9" t="str">
        <f aca="false">IF(A193="","",IF(AND(E193=0,C193=""),"Dia sem programa",""))</f>
        <v/>
      </c>
    </row>
    <row r="194" customFormat="false" ht="15" hidden="false" customHeight="false" outlineLevel="0" collapsed="false">
      <c r="A194" s="7"/>
      <c r="B194" s="8"/>
      <c r="C194" s="8"/>
      <c r="D194" s="8"/>
      <c r="E194" s="9" t="str">
        <f aca="false">IF(A194="","",COUNTIF(Compromissos!A:A,A194)+COUNTIF(Transporte!A:A,A194))</f>
        <v/>
      </c>
      <c r="F194" s="9" t="str">
        <f aca="false">IF(A194="","",IF(AND(E194=0,C194=""),"Dia sem programa",""))</f>
        <v/>
      </c>
    </row>
    <row r="195" customFormat="false" ht="15" hidden="false" customHeight="false" outlineLevel="0" collapsed="false">
      <c r="A195" s="7"/>
      <c r="B195" s="8"/>
      <c r="C195" s="8"/>
      <c r="D195" s="8"/>
      <c r="E195" s="9" t="str">
        <f aca="false">IF(A195="","",COUNTIF(Compromissos!A:A,A195)+COUNTIF(Transporte!A:A,A195))</f>
        <v/>
      </c>
      <c r="F195" s="9" t="str">
        <f aca="false">IF(A195="","",IF(AND(E195=0,C195=""),"Dia sem programa",""))</f>
        <v/>
      </c>
    </row>
    <row r="196" customFormat="false" ht="15" hidden="false" customHeight="false" outlineLevel="0" collapsed="false">
      <c r="A196" s="7"/>
      <c r="B196" s="8"/>
      <c r="C196" s="8"/>
      <c r="D196" s="8"/>
      <c r="E196" s="9" t="str">
        <f aca="false">IF(A196="","",COUNTIF(Compromissos!A:A,A196)+COUNTIF(Transporte!A:A,A196))</f>
        <v/>
      </c>
      <c r="F196" s="9" t="str">
        <f aca="false">IF(A196="","",IF(AND(E196=0,C196=""),"Dia sem programa",""))</f>
        <v/>
      </c>
    </row>
    <row r="197" customFormat="false" ht="15" hidden="false" customHeight="false" outlineLevel="0" collapsed="false">
      <c r="A197" s="7"/>
      <c r="B197" s="8"/>
      <c r="C197" s="8"/>
      <c r="D197" s="8"/>
      <c r="E197" s="9" t="str">
        <f aca="false">IF(A197="","",COUNTIF(Compromissos!A:A,A197)+COUNTIF(Transporte!A:A,A197))</f>
        <v/>
      </c>
      <c r="F197" s="9" t="str">
        <f aca="false">IF(A197="","",IF(AND(E197=0,C197=""),"Dia sem programa",""))</f>
        <v/>
      </c>
    </row>
    <row r="198" customFormat="false" ht="15" hidden="false" customHeight="false" outlineLevel="0" collapsed="false">
      <c r="A198" s="7"/>
      <c r="B198" s="8"/>
      <c r="C198" s="8"/>
      <c r="D198" s="8"/>
      <c r="E198" s="9" t="str">
        <f aca="false">IF(A198="","",COUNTIF(Compromissos!A:A,A198)+COUNTIF(Transporte!A:A,A198))</f>
        <v/>
      </c>
      <c r="F198" s="9" t="str">
        <f aca="false">IF(A198="","",IF(AND(E198=0,C198=""),"Dia sem programa",""))</f>
        <v/>
      </c>
    </row>
    <row r="199" customFormat="false" ht="15" hidden="false" customHeight="false" outlineLevel="0" collapsed="false">
      <c r="A199" s="7"/>
      <c r="B199" s="8"/>
      <c r="C199" s="8"/>
      <c r="D199" s="8"/>
      <c r="E199" s="9" t="str">
        <f aca="false">IF(A199="","",COUNTIF(Compromissos!A:A,A199)+COUNTIF(Transporte!A:A,A199))</f>
        <v/>
      </c>
      <c r="F199" s="9" t="str">
        <f aca="false">IF(A199="","",IF(AND(E199=0,C199=""),"Dia sem programa",""))</f>
        <v/>
      </c>
    </row>
    <row r="200" customFormat="false" ht="15" hidden="false" customHeight="false" outlineLevel="0" collapsed="false">
      <c r="A200" s="7"/>
      <c r="B200" s="8"/>
      <c r="C200" s="8"/>
      <c r="D200" s="8"/>
      <c r="E200" s="9" t="str">
        <f aca="false">IF(A200="","",COUNTIF(Compromissos!A:A,A200)+COUNTIF(Transporte!A:A,A200))</f>
        <v/>
      </c>
      <c r="F200" s="9" t="str">
        <f aca="false">IF(A200="","",IF(AND(E200=0,C200=""),"Dia sem programa",""))</f>
        <v/>
      </c>
    </row>
    <row r="201" customFormat="false" ht="15" hidden="false" customHeight="false" outlineLevel="0" collapsed="false">
      <c r="A201" s="7"/>
      <c r="B201" s="8"/>
      <c r="C201" s="8"/>
      <c r="D201" s="8"/>
      <c r="E201" s="9" t="str">
        <f aca="false">IF(A201="","",COUNTIF(Compromissos!A:A,A201)+COUNTIF(Transporte!A:A,A201))</f>
        <v/>
      </c>
      <c r="F201" s="9" t="str">
        <f aca="false">IF(A201="","",IF(AND(E201=0,C201=""),"Dia sem programa",""))</f>
        <v/>
      </c>
    </row>
    <row r="202" customFormat="false" ht="15" hidden="false" customHeight="false" outlineLevel="0" collapsed="false">
      <c r="A202" s="7"/>
      <c r="B202" s="8"/>
      <c r="C202" s="8"/>
      <c r="D202" s="8"/>
      <c r="E202" s="9" t="str">
        <f aca="false">IF(A202="","",COUNTIF(Compromissos!A:A,A202)+COUNTIF(Transporte!A:A,A202))</f>
        <v/>
      </c>
      <c r="F202" s="9" t="str">
        <f aca="false">IF(A202="","",IF(AND(E202=0,C202=""),"Dia sem programa",""))</f>
        <v/>
      </c>
    </row>
    <row r="203" customFormat="false" ht="15" hidden="false" customHeight="false" outlineLevel="0" collapsed="false">
      <c r="A203" s="7"/>
      <c r="B203" s="8"/>
      <c r="C203" s="8"/>
      <c r="D203" s="8"/>
      <c r="E203" s="9" t="str">
        <f aca="false">IF(A203="","",COUNTIF(Compromissos!A:A,A203)+COUNTIF(Transporte!A:A,A203))</f>
        <v/>
      </c>
      <c r="F203" s="9" t="str">
        <f aca="false">IF(A203="","",IF(AND(E203=0,C203=""),"Dia sem programa",""))</f>
        <v/>
      </c>
    </row>
    <row r="204" customFormat="false" ht="15" hidden="false" customHeight="false" outlineLevel="0" collapsed="false">
      <c r="A204" s="7"/>
      <c r="B204" s="8"/>
      <c r="C204" s="8"/>
      <c r="D204" s="8"/>
      <c r="E204" s="9" t="str">
        <f aca="false">IF(A204="","",COUNTIF(Compromissos!A:A,A204)+COUNTIF(Transporte!A:A,A204))</f>
        <v/>
      </c>
      <c r="F204" s="9" t="str">
        <f aca="false">IF(A204="","",IF(AND(E204=0,C204=""),"Dia sem programa",""))</f>
        <v/>
      </c>
    </row>
    <row r="205" customFormat="false" ht="15" hidden="false" customHeight="false" outlineLevel="0" collapsed="false">
      <c r="A205" s="7"/>
      <c r="B205" s="8"/>
      <c r="C205" s="8"/>
      <c r="D205" s="8"/>
      <c r="E205" s="9" t="str">
        <f aca="false">IF(A205="","",COUNTIF(Compromissos!A:A,A205)+COUNTIF(Transporte!A:A,A205))</f>
        <v/>
      </c>
      <c r="F205" s="9" t="str">
        <f aca="false">IF(A205="","",IF(AND(E205=0,C205=""),"Dia sem programa",""))</f>
        <v/>
      </c>
    </row>
    <row r="206" customFormat="false" ht="15" hidden="false" customHeight="false" outlineLevel="0" collapsed="false">
      <c r="A206" s="7"/>
      <c r="B206" s="8"/>
      <c r="C206" s="8"/>
      <c r="D206" s="8"/>
      <c r="E206" s="9" t="str">
        <f aca="false">IF(A206="","",COUNTIF(Compromissos!A:A,A206)+COUNTIF(Transporte!A:A,A206))</f>
        <v/>
      </c>
      <c r="F206" s="9" t="str">
        <f aca="false">IF(A206="","",IF(AND(E206=0,C206=""),"Dia sem programa",""))</f>
        <v/>
      </c>
    </row>
    <row r="207" customFormat="false" ht="15" hidden="false" customHeight="false" outlineLevel="0" collapsed="false">
      <c r="A207" s="7"/>
      <c r="B207" s="8"/>
      <c r="C207" s="8"/>
      <c r="D207" s="8"/>
      <c r="E207" s="9" t="str">
        <f aca="false">IF(A207="","",COUNTIF(Compromissos!A:A,A207)+COUNTIF(Transporte!A:A,A207))</f>
        <v/>
      </c>
      <c r="F207" s="9" t="str">
        <f aca="false">IF(A207="","",IF(AND(E207=0,C207=""),"Dia sem programa",""))</f>
        <v/>
      </c>
    </row>
    <row r="208" customFormat="false" ht="15" hidden="false" customHeight="false" outlineLevel="0" collapsed="false">
      <c r="A208" s="7"/>
      <c r="B208" s="8"/>
      <c r="C208" s="8"/>
      <c r="D208" s="8"/>
      <c r="E208" s="9" t="str">
        <f aca="false">IF(A208="","",COUNTIF(Compromissos!A:A,A208)+COUNTIF(Transporte!A:A,A208))</f>
        <v/>
      </c>
      <c r="F208" s="9" t="str">
        <f aca="false">IF(A208="","",IF(AND(E208=0,C208=""),"Dia sem programa",""))</f>
        <v/>
      </c>
    </row>
    <row r="209" customFormat="false" ht="15" hidden="false" customHeight="false" outlineLevel="0" collapsed="false">
      <c r="A209" s="7"/>
      <c r="B209" s="8"/>
      <c r="C209" s="8"/>
      <c r="D209" s="8"/>
      <c r="E209" s="9" t="str">
        <f aca="false">IF(A209="","",COUNTIF(Compromissos!A:A,A209)+COUNTIF(Transporte!A:A,A209))</f>
        <v/>
      </c>
      <c r="F209" s="9" t="str">
        <f aca="false">IF(A209="","",IF(AND(E209=0,C209=""),"Dia sem programa",""))</f>
        <v/>
      </c>
    </row>
    <row r="210" customFormat="false" ht="15" hidden="false" customHeight="false" outlineLevel="0" collapsed="false">
      <c r="A210" s="7"/>
      <c r="B210" s="8"/>
      <c r="C210" s="8"/>
      <c r="D210" s="8"/>
      <c r="E210" s="9" t="str">
        <f aca="false">IF(A210="","",COUNTIF(Compromissos!A:A,A210)+COUNTIF(Transporte!A:A,A210))</f>
        <v/>
      </c>
      <c r="F210" s="9" t="str">
        <f aca="false">IF(A210="","",IF(AND(E210=0,C210=""),"Dia sem programa",""))</f>
        <v/>
      </c>
    </row>
    <row r="211" customFormat="false" ht="15" hidden="false" customHeight="false" outlineLevel="0" collapsed="false">
      <c r="A211" s="7"/>
      <c r="B211" s="8"/>
      <c r="C211" s="8"/>
      <c r="D211" s="8"/>
      <c r="E211" s="9" t="str">
        <f aca="false">IF(A211="","",COUNTIF(Compromissos!A:A,A211)+COUNTIF(Transporte!A:A,A211))</f>
        <v/>
      </c>
      <c r="F211" s="9" t="str">
        <f aca="false">IF(A211="","",IF(AND(E211=0,C211=""),"Dia sem programa",""))</f>
        <v/>
      </c>
    </row>
    <row r="212" customFormat="false" ht="15" hidden="false" customHeight="false" outlineLevel="0" collapsed="false">
      <c r="A212" s="7"/>
      <c r="B212" s="8"/>
      <c r="C212" s="8"/>
      <c r="D212" s="8"/>
      <c r="E212" s="9" t="str">
        <f aca="false">IF(A212="","",COUNTIF(Compromissos!A:A,A212)+COUNTIF(Transporte!A:A,A212))</f>
        <v/>
      </c>
      <c r="F212" s="9" t="str">
        <f aca="false">IF(A212="","",IF(AND(E212=0,C212=""),"Dia sem programa",""))</f>
        <v/>
      </c>
    </row>
    <row r="213" customFormat="false" ht="15" hidden="false" customHeight="false" outlineLevel="0" collapsed="false">
      <c r="A213" s="7"/>
      <c r="B213" s="8"/>
      <c r="C213" s="8"/>
      <c r="D213" s="8"/>
      <c r="E213" s="9" t="str">
        <f aca="false">IF(A213="","",COUNTIF(Compromissos!A:A,A213)+COUNTIF(Transporte!A:A,A213))</f>
        <v/>
      </c>
      <c r="F213" s="9" t="str">
        <f aca="false">IF(A213="","",IF(AND(E213=0,C213=""),"Dia sem programa",""))</f>
        <v/>
      </c>
    </row>
    <row r="214" customFormat="false" ht="15" hidden="false" customHeight="false" outlineLevel="0" collapsed="false">
      <c r="A214" s="7"/>
      <c r="B214" s="8"/>
      <c r="C214" s="8"/>
      <c r="D214" s="8"/>
      <c r="E214" s="9" t="str">
        <f aca="false">IF(A214="","",COUNTIF(Compromissos!A:A,A214)+COUNTIF(Transporte!A:A,A214))</f>
        <v/>
      </c>
      <c r="F214" s="9" t="str">
        <f aca="false">IF(A214="","",IF(AND(E214=0,C214=""),"Dia sem programa",""))</f>
        <v/>
      </c>
    </row>
    <row r="215" customFormat="false" ht="15" hidden="false" customHeight="false" outlineLevel="0" collapsed="false">
      <c r="A215" s="7"/>
      <c r="B215" s="8"/>
      <c r="C215" s="8"/>
      <c r="D215" s="8"/>
      <c r="E215" s="9" t="str">
        <f aca="false">IF(A215="","",COUNTIF(Compromissos!A:A,A215)+COUNTIF(Transporte!A:A,A215))</f>
        <v/>
      </c>
      <c r="F215" s="9" t="str">
        <f aca="false">IF(A215="","",IF(AND(E215=0,C215=""),"Dia sem programa",""))</f>
        <v/>
      </c>
    </row>
    <row r="216" customFormat="false" ht="15" hidden="false" customHeight="false" outlineLevel="0" collapsed="false">
      <c r="A216" s="7"/>
      <c r="B216" s="8"/>
      <c r="C216" s="8"/>
      <c r="D216" s="8"/>
      <c r="E216" s="9" t="str">
        <f aca="false">IF(A216="","",COUNTIF(Compromissos!A:A,A216)+COUNTIF(Transporte!A:A,A216))</f>
        <v/>
      </c>
      <c r="F216" s="9" t="str">
        <f aca="false">IF(A216="","",IF(AND(E216=0,C216=""),"Dia sem programa",""))</f>
        <v/>
      </c>
    </row>
    <row r="217" customFormat="false" ht="15" hidden="false" customHeight="false" outlineLevel="0" collapsed="false">
      <c r="A217" s="7"/>
      <c r="B217" s="8"/>
      <c r="C217" s="8"/>
      <c r="D217" s="8"/>
      <c r="E217" s="9" t="str">
        <f aca="false">IF(A217="","",COUNTIF(Compromissos!A:A,A217)+COUNTIF(Transporte!A:A,A217))</f>
        <v/>
      </c>
      <c r="F217" s="9" t="str">
        <f aca="false">IF(A217="","",IF(AND(E217=0,C217=""),"Dia sem programa",""))</f>
        <v/>
      </c>
    </row>
    <row r="218" customFormat="false" ht="15" hidden="false" customHeight="false" outlineLevel="0" collapsed="false">
      <c r="A218" s="7"/>
      <c r="B218" s="8"/>
      <c r="C218" s="8"/>
      <c r="D218" s="8"/>
      <c r="E218" s="9" t="str">
        <f aca="false">IF(A218="","",COUNTIF(Compromissos!A:A,A218)+COUNTIF(Transporte!A:A,A218))</f>
        <v/>
      </c>
      <c r="F218" s="9" t="str">
        <f aca="false">IF(A218="","",IF(AND(E218=0,C218=""),"Dia sem programa",""))</f>
        <v/>
      </c>
    </row>
    <row r="219" customFormat="false" ht="15" hidden="false" customHeight="false" outlineLevel="0" collapsed="false">
      <c r="A219" s="7"/>
      <c r="B219" s="8"/>
      <c r="C219" s="8"/>
      <c r="D219" s="8"/>
      <c r="E219" s="9" t="str">
        <f aca="false">IF(A219="","",COUNTIF(Compromissos!A:A,A219)+COUNTIF(Transporte!A:A,A219))</f>
        <v/>
      </c>
      <c r="F219" s="9" t="str">
        <f aca="false">IF(A219="","",IF(AND(E219=0,C219=""),"Dia sem programa",""))</f>
        <v/>
      </c>
    </row>
    <row r="220" customFormat="false" ht="15" hidden="false" customHeight="false" outlineLevel="0" collapsed="false">
      <c r="A220" s="7"/>
      <c r="B220" s="8"/>
      <c r="C220" s="8"/>
      <c r="D220" s="8"/>
      <c r="E220" s="9" t="str">
        <f aca="false">IF(A220="","",COUNTIF(Compromissos!A:A,A220)+COUNTIF(Transporte!A:A,A220))</f>
        <v/>
      </c>
      <c r="F220" s="9" t="str">
        <f aca="false">IF(A220="","",IF(AND(E220=0,C220=""),"Dia sem programa",""))</f>
        <v/>
      </c>
    </row>
    <row r="221" customFormat="false" ht="15" hidden="false" customHeight="false" outlineLevel="0" collapsed="false">
      <c r="A221" s="7"/>
      <c r="B221" s="8"/>
      <c r="C221" s="8"/>
      <c r="D221" s="8"/>
      <c r="E221" s="9" t="str">
        <f aca="false">IF(A221="","",COUNTIF(Compromissos!A:A,A221)+COUNTIF(Transporte!A:A,A221))</f>
        <v/>
      </c>
      <c r="F221" s="9" t="str">
        <f aca="false">IF(A221="","",IF(AND(E221=0,C221=""),"Dia sem programa",""))</f>
        <v/>
      </c>
    </row>
    <row r="222" customFormat="false" ht="15" hidden="false" customHeight="false" outlineLevel="0" collapsed="false">
      <c r="A222" s="7"/>
      <c r="B222" s="8"/>
      <c r="C222" s="8"/>
      <c r="D222" s="8"/>
      <c r="E222" s="9" t="str">
        <f aca="false">IF(A222="","",COUNTIF(Compromissos!A:A,A222)+COUNTIF(Transporte!A:A,A222))</f>
        <v/>
      </c>
      <c r="F222" s="9" t="str">
        <f aca="false">IF(A222="","",IF(AND(E222=0,C222=""),"Dia sem programa",""))</f>
        <v/>
      </c>
    </row>
    <row r="223" customFormat="false" ht="15" hidden="false" customHeight="false" outlineLevel="0" collapsed="false">
      <c r="A223" s="7"/>
      <c r="B223" s="8"/>
      <c r="C223" s="8"/>
      <c r="D223" s="8"/>
      <c r="E223" s="9" t="str">
        <f aca="false">IF(A223="","",COUNTIF(Compromissos!A:A,A223)+COUNTIF(Transporte!A:A,A223))</f>
        <v/>
      </c>
      <c r="F223" s="9" t="str">
        <f aca="false">IF(A223="","",IF(AND(E223=0,C223=""),"Dia sem programa",""))</f>
        <v/>
      </c>
    </row>
    <row r="224" customFormat="false" ht="15" hidden="false" customHeight="false" outlineLevel="0" collapsed="false">
      <c r="A224" s="7"/>
      <c r="B224" s="8"/>
      <c r="C224" s="8"/>
      <c r="D224" s="8"/>
      <c r="E224" s="9" t="str">
        <f aca="false">IF(A224="","",COUNTIF(Compromissos!A:A,A224)+COUNTIF(Transporte!A:A,A224))</f>
        <v/>
      </c>
      <c r="F224" s="9" t="str">
        <f aca="false">IF(A224="","",IF(AND(E224=0,C224=""),"Dia sem programa",""))</f>
        <v/>
      </c>
    </row>
    <row r="225" customFormat="false" ht="15" hidden="false" customHeight="false" outlineLevel="0" collapsed="false">
      <c r="A225" s="7"/>
      <c r="B225" s="8"/>
      <c r="C225" s="8"/>
      <c r="D225" s="8"/>
      <c r="E225" s="9" t="str">
        <f aca="false">IF(A225="","",COUNTIF(Compromissos!A:A,A225)+COUNTIF(Transporte!A:A,A225))</f>
        <v/>
      </c>
      <c r="F225" s="9" t="str">
        <f aca="false">IF(A225="","",IF(AND(E225=0,C225=""),"Dia sem programa",""))</f>
        <v/>
      </c>
    </row>
    <row r="226" customFormat="false" ht="15" hidden="false" customHeight="false" outlineLevel="0" collapsed="false">
      <c r="A226" s="7"/>
      <c r="B226" s="8"/>
      <c r="C226" s="8"/>
      <c r="D226" s="8"/>
      <c r="E226" s="9" t="str">
        <f aca="false">IF(A226="","",COUNTIF(Compromissos!A:A,A226)+COUNTIF(Transporte!A:A,A226))</f>
        <v/>
      </c>
      <c r="F226" s="9" t="str">
        <f aca="false">IF(A226="","",IF(AND(E226=0,C226=""),"Dia sem programa",""))</f>
        <v/>
      </c>
    </row>
    <row r="227" customFormat="false" ht="15" hidden="false" customHeight="false" outlineLevel="0" collapsed="false">
      <c r="A227" s="7"/>
      <c r="B227" s="8"/>
      <c r="C227" s="8"/>
      <c r="D227" s="8"/>
      <c r="E227" s="9" t="str">
        <f aca="false">IF(A227="","",COUNTIF(Compromissos!A:A,A227)+COUNTIF(Transporte!A:A,A227))</f>
        <v/>
      </c>
      <c r="F227" s="9" t="str">
        <f aca="false">IF(A227="","",IF(AND(E227=0,C227=""),"Dia sem programa",""))</f>
        <v/>
      </c>
    </row>
    <row r="228" customFormat="false" ht="15" hidden="false" customHeight="false" outlineLevel="0" collapsed="false">
      <c r="A228" s="7"/>
      <c r="B228" s="8"/>
      <c r="C228" s="8"/>
      <c r="D228" s="8"/>
      <c r="E228" s="9" t="str">
        <f aca="false">IF(A228="","",COUNTIF(Compromissos!A:A,A228)+COUNTIF(Transporte!A:A,A228))</f>
        <v/>
      </c>
      <c r="F228" s="9" t="str">
        <f aca="false">IF(A228="","",IF(AND(E228=0,C228=""),"Dia sem programa",""))</f>
        <v/>
      </c>
    </row>
    <row r="229" customFormat="false" ht="15" hidden="false" customHeight="false" outlineLevel="0" collapsed="false">
      <c r="A229" s="7"/>
      <c r="B229" s="8"/>
      <c r="C229" s="8"/>
      <c r="D229" s="8"/>
      <c r="E229" s="9" t="str">
        <f aca="false">IF(A229="","",COUNTIF(Compromissos!A:A,A229)+COUNTIF(Transporte!A:A,A229))</f>
        <v/>
      </c>
      <c r="F229" s="9" t="str">
        <f aca="false">IF(A229="","",IF(AND(E229=0,C229=""),"Dia sem programa",""))</f>
        <v/>
      </c>
    </row>
    <row r="230" customFormat="false" ht="15" hidden="false" customHeight="false" outlineLevel="0" collapsed="false">
      <c r="A230" s="7"/>
      <c r="B230" s="8"/>
      <c r="C230" s="8"/>
      <c r="D230" s="8"/>
      <c r="E230" s="9" t="str">
        <f aca="false">IF(A230="","",COUNTIF(Compromissos!A:A,A230)+COUNTIF(Transporte!A:A,A230))</f>
        <v/>
      </c>
      <c r="F230" s="9" t="str">
        <f aca="false">IF(A230="","",IF(AND(E230=0,C230=""),"Dia sem programa",""))</f>
        <v/>
      </c>
    </row>
    <row r="231" customFormat="false" ht="15" hidden="false" customHeight="false" outlineLevel="0" collapsed="false">
      <c r="A231" s="7"/>
      <c r="B231" s="8"/>
      <c r="C231" s="8"/>
      <c r="D231" s="8"/>
      <c r="E231" s="9" t="str">
        <f aca="false">IF(A231="","",COUNTIF(Compromissos!A:A,A231)+COUNTIF(Transporte!A:A,A231))</f>
        <v/>
      </c>
      <c r="F231" s="9" t="str">
        <f aca="false">IF(A231="","",IF(AND(E231=0,C231=""),"Dia sem programa",""))</f>
        <v/>
      </c>
    </row>
    <row r="232" customFormat="false" ht="15" hidden="false" customHeight="false" outlineLevel="0" collapsed="false">
      <c r="A232" s="7"/>
      <c r="B232" s="8"/>
      <c r="C232" s="8"/>
      <c r="D232" s="8"/>
      <c r="E232" s="9" t="str">
        <f aca="false">IF(A232="","",COUNTIF(Compromissos!A:A,A232)+COUNTIF(Transporte!A:A,A232))</f>
        <v/>
      </c>
      <c r="F232" s="9" t="str">
        <f aca="false">IF(A232="","",IF(AND(E232=0,C232=""),"Dia sem programa",""))</f>
        <v/>
      </c>
    </row>
    <row r="233" customFormat="false" ht="15" hidden="false" customHeight="false" outlineLevel="0" collapsed="false">
      <c r="A233" s="7"/>
      <c r="B233" s="8"/>
      <c r="C233" s="8"/>
      <c r="D233" s="8"/>
      <c r="E233" s="9" t="str">
        <f aca="false">IF(A233="","",COUNTIF(Compromissos!A:A,A233)+COUNTIF(Transporte!A:A,A233))</f>
        <v/>
      </c>
      <c r="F233" s="9" t="str">
        <f aca="false">IF(A233="","",IF(AND(E233=0,C233=""),"Dia sem programa",""))</f>
        <v/>
      </c>
    </row>
    <row r="234" customFormat="false" ht="15" hidden="false" customHeight="false" outlineLevel="0" collapsed="false">
      <c r="A234" s="7"/>
      <c r="B234" s="8"/>
      <c r="C234" s="8"/>
      <c r="D234" s="8"/>
      <c r="E234" s="9" t="str">
        <f aca="false">IF(A234="","",COUNTIF(Compromissos!A:A,A234)+COUNTIF(Transporte!A:A,A234))</f>
        <v/>
      </c>
      <c r="F234" s="9" t="str">
        <f aca="false">IF(A234="","",IF(AND(E234=0,C234=""),"Dia sem programa",""))</f>
        <v/>
      </c>
    </row>
    <row r="235" customFormat="false" ht="15" hidden="false" customHeight="false" outlineLevel="0" collapsed="false">
      <c r="A235" s="7"/>
      <c r="B235" s="8"/>
      <c r="C235" s="8"/>
      <c r="D235" s="8"/>
      <c r="E235" s="9" t="str">
        <f aca="false">IF(A235="","",COUNTIF(Compromissos!A:A,A235)+COUNTIF(Transporte!A:A,A235))</f>
        <v/>
      </c>
      <c r="F235" s="9" t="str">
        <f aca="false">IF(A235="","",IF(AND(E235=0,C235=""),"Dia sem programa",""))</f>
        <v/>
      </c>
    </row>
    <row r="236" customFormat="false" ht="15" hidden="false" customHeight="false" outlineLevel="0" collapsed="false">
      <c r="A236" s="7"/>
      <c r="B236" s="8"/>
      <c r="C236" s="8"/>
      <c r="D236" s="8"/>
      <c r="E236" s="9" t="str">
        <f aca="false">IF(A236="","",COUNTIF(Compromissos!A:A,A236)+COUNTIF(Transporte!A:A,A236))</f>
        <v/>
      </c>
      <c r="F236" s="9" t="str">
        <f aca="false">IF(A236="","",IF(AND(E236=0,C236=""),"Dia sem programa",""))</f>
        <v/>
      </c>
    </row>
    <row r="237" customFormat="false" ht="15" hidden="false" customHeight="false" outlineLevel="0" collapsed="false">
      <c r="A237" s="7"/>
      <c r="B237" s="8"/>
      <c r="C237" s="8"/>
      <c r="D237" s="8"/>
      <c r="E237" s="9" t="str">
        <f aca="false">IF(A237="","",COUNTIF(Compromissos!A:A,A237)+COUNTIF(Transporte!A:A,A237))</f>
        <v/>
      </c>
      <c r="F237" s="9" t="str">
        <f aca="false">IF(A237="","",IF(AND(E237=0,C237=""),"Dia sem programa",""))</f>
        <v/>
      </c>
    </row>
    <row r="238" customFormat="false" ht="15" hidden="false" customHeight="false" outlineLevel="0" collapsed="false">
      <c r="A238" s="7"/>
      <c r="B238" s="8"/>
      <c r="C238" s="8"/>
      <c r="D238" s="8"/>
      <c r="E238" s="9" t="str">
        <f aca="false">IF(A238="","",COUNTIF(Compromissos!A:A,A238)+COUNTIF(Transporte!A:A,A238))</f>
        <v/>
      </c>
      <c r="F238" s="9" t="str">
        <f aca="false">IF(A238="","",IF(AND(E238=0,C238=""),"Dia sem programa",""))</f>
        <v/>
      </c>
    </row>
    <row r="239" customFormat="false" ht="15" hidden="false" customHeight="false" outlineLevel="0" collapsed="false">
      <c r="A239" s="7"/>
      <c r="B239" s="8"/>
      <c r="C239" s="8"/>
      <c r="D239" s="8"/>
      <c r="E239" s="9" t="str">
        <f aca="false">IF(A239="","",COUNTIF(Compromissos!A:A,A239)+COUNTIF(Transporte!A:A,A239))</f>
        <v/>
      </c>
      <c r="F239" s="9" t="str">
        <f aca="false">IF(A239="","",IF(AND(E239=0,C239=""),"Dia sem programa",""))</f>
        <v/>
      </c>
    </row>
    <row r="240" customFormat="false" ht="15" hidden="false" customHeight="false" outlineLevel="0" collapsed="false">
      <c r="A240" s="7"/>
      <c r="B240" s="8"/>
      <c r="C240" s="8"/>
      <c r="D240" s="8"/>
      <c r="E240" s="9" t="str">
        <f aca="false">IF(A240="","",COUNTIF(Compromissos!A:A,A240)+COUNTIF(Transporte!A:A,A240))</f>
        <v/>
      </c>
      <c r="F240" s="9" t="str">
        <f aca="false">IF(A240="","",IF(AND(E240=0,C240=""),"Dia sem programa",""))</f>
        <v/>
      </c>
    </row>
    <row r="241" customFormat="false" ht="15" hidden="false" customHeight="false" outlineLevel="0" collapsed="false">
      <c r="A241" s="7"/>
      <c r="B241" s="8"/>
      <c r="C241" s="8"/>
      <c r="D241" s="8"/>
      <c r="E241" s="9" t="str">
        <f aca="false">IF(A241="","",COUNTIF(Compromissos!A:A,A241)+COUNTIF(Transporte!A:A,A241))</f>
        <v/>
      </c>
      <c r="F241" s="9" t="str">
        <f aca="false">IF(A241="","",IF(AND(E241=0,C241=""),"Dia sem programa",""))</f>
        <v/>
      </c>
    </row>
    <row r="242" customFormat="false" ht="15" hidden="false" customHeight="false" outlineLevel="0" collapsed="false">
      <c r="A242" s="7"/>
      <c r="B242" s="8"/>
      <c r="C242" s="8"/>
      <c r="D242" s="8"/>
      <c r="E242" s="9" t="str">
        <f aca="false">IF(A242="","",COUNTIF(Compromissos!A:A,A242)+COUNTIF(Transporte!A:A,A242))</f>
        <v/>
      </c>
      <c r="F242" s="9" t="str">
        <f aca="false">IF(A242="","",IF(AND(E242=0,C242=""),"Dia sem programa",""))</f>
        <v/>
      </c>
    </row>
    <row r="243" customFormat="false" ht="15" hidden="false" customHeight="false" outlineLevel="0" collapsed="false">
      <c r="A243" s="7"/>
      <c r="B243" s="8"/>
      <c r="C243" s="8"/>
      <c r="D243" s="8"/>
      <c r="E243" s="9" t="str">
        <f aca="false">IF(A243="","",COUNTIF(Compromissos!A:A,A243)+COUNTIF(Transporte!A:A,A243))</f>
        <v/>
      </c>
      <c r="F243" s="9" t="str">
        <f aca="false">IF(A243="","",IF(AND(E243=0,C243=""),"Dia sem programa",""))</f>
        <v/>
      </c>
    </row>
    <row r="244" customFormat="false" ht="15" hidden="false" customHeight="false" outlineLevel="0" collapsed="false">
      <c r="A244" s="7"/>
      <c r="B244" s="8"/>
      <c r="C244" s="8"/>
      <c r="D244" s="8"/>
      <c r="E244" s="9" t="str">
        <f aca="false">IF(A244="","",COUNTIF(Compromissos!A:A,A244)+COUNTIF(Transporte!A:A,A244))</f>
        <v/>
      </c>
      <c r="F244" s="9" t="str">
        <f aca="false">IF(A244="","",IF(AND(E244=0,C244=""),"Dia sem programa",""))</f>
        <v/>
      </c>
    </row>
    <row r="245" customFormat="false" ht="15" hidden="false" customHeight="false" outlineLevel="0" collapsed="false">
      <c r="A245" s="7"/>
      <c r="B245" s="8"/>
      <c r="C245" s="8"/>
      <c r="D245" s="8"/>
      <c r="E245" s="9" t="str">
        <f aca="false">IF(A245="","",COUNTIF(Compromissos!A:A,A245)+COUNTIF(Transporte!A:A,A245))</f>
        <v/>
      </c>
      <c r="F245" s="9" t="str">
        <f aca="false">IF(A245="","",IF(AND(E245=0,C245=""),"Dia sem programa",""))</f>
        <v/>
      </c>
    </row>
    <row r="246" customFormat="false" ht="15" hidden="false" customHeight="false" outlineLevel="0" collapsed="false">
      <c r="A246" s="7"/>
      <c r="B246" s="8"/>
      <c r="C246" s="8"/>
      <c r="D246" s="8"/>
      <c r="E246" s="9" t="str">
        <f aca="false">IF(A246="","",COUNTIF(Compromissos!A:A,A246)+COUNTIF(Transporte!A:A,A246))</f>
        <v/>
      </c>
      <c r="F246" s="9" t="str">
        <f aca="false">IF(A246="","",IF(AND(E246=0,C246=""),"Dia sem programa",""))</f>
        <v/>
      </c>
    </row>
    <row r="247" customFormat="false" ht="15" hidden="false" customHeight="false" outlineLevel="0" collapsed="false">
      <c r="A247" s="7"/>
      <c r="B247" s="8"/>
      <c r="C247" s="8"/>
      <c r="D247" s="8"/>
      <c r="E247" s="9" t="str">
        <f aca="false">IF(A247="","",COUNTIF(Compromissos!A:A,A247)+COUNTIF(Transporte!A:A,A247))</f>
        <v/>
      </c>
      <c r="F247" s="9" t="str">
        <f aca="false">IF(A247="","",IF(AND(E247=0,C247=""),"Dia sem programa",""))</f>
        <v/>
      </c>
    </row>
    <row r="248" customFormat="false" ht="15" hidden="false" customHeight="false" outlineLevel="0" collapsed="false">
      <c r="A248" s="7"/>
      <c r="B248" s="8"/>
      <c r="C248" s="8"/>
      <c r="D248" s="8"/>
      <c r="E248" s="9" t="str">
        <f aca="false">IF(A248="","",COUNTIF(Compromissos!A:A,A248)+COUNTIF(Transporte!A:A,A248))</f>
        <v/>
      </c>
      <c r="F248" s="9" t="str">
        <f aca="false">IF(A248="","",IF(AND(E248=0,C248=""),"Dia sem programa",""))</f>
        <v/>
      </c>
    </row>
    <row r="249" customFormat="false" ht="15" hidden="false" customHeight="false" outlineLevel="0" collapsed="false">
      <c r="A249" s="7"/>
      <c r="B249" s="8"/>
      <c r="C249" s="8"/>
      <c r="D249" s="8"/>
      <c r="E249" s="9" t="str">
        <f aca="false">IF(A249="","",COUNTIF(Compromissos!A:A,A249)+COUNTIF(Transporte!A:A,A249))</f>
        <v/>
      </c>
      <c r="F249" s="9" t="str">
        <f aca="false">IF(A249="","",IF(AND(E249=0,C249=""),"Dia sem programa",""))</f>
        <v/>
      </c>
    </row>
    <row r="250" customFormat="false" ht="15" hidden="false" customHeight="false" outlineLevel="0" collapsed="false">
      <c r="A250" s="7"/>
      <c r="B250" s="8"/>
      <c r="C250" s="8"/>
      <c r="D250" s="8"/>
      <c r="E250" s="9" t="str">
        <f aca="false">IF(A250="","",COUNTIF(Compromissos!A:A,A250)+COUNTIF(Transporte!A:A,A250))</f>
        <v/>
      </c>
      <c r="F250" s="9" t="str">
        <f aca="false">IF(A250="","",IF(AND(E250=0,C250=""),"Dia sem programa",""))</f>
        <v/>
      </c>
    </row>
    <row r="251" customFormat="false" ht="15" hidden="false" customHeight="false" outlineLevel="0" collapsed="false">
      <c r="A251" s="7"/>
      <c r="B251" s="8"/>
      <c r="C251" s="8"/>
      <c r="D251" s="8"/>
      <c r="E251" s="9" t="str">
        <f aca="false">IF(A251="","",COUNTIF(Compromissos!A:A,A251)+COUNTIF(Transporte!A:A,A251))</f>
        <v/>
      </c>
      <c r="F251" s="9" t="str">
        <f aca="false">IF(A251="","",IF(AND(E251=0,C251=""),"Dia sem programa",""))</f>
        <v/>
      </c>
    </row>
    <row r="252" customFormat="false" ht="15" hidden="false" customHeight="false" outlineLevel="0" collapsed="false">
      <c r="A252" s="7"/>
      <c r="B252" s="8"/>
      <c r="C252" s="8"/>
      <c r="D252" s="8"/>
      <c r="E252" s="9" t="str">
        <f aca="false">IF(A252="","",COUNTIF(Compromissos!A:A,A252)+COUNTIF(Transporte!A:A,A252))</f>
        <v/>
      </c>
      <c r="F252" s="9" t="str">
        <f aca="false">IF(A252="","",IF(AND(E252=0,C252=""),"Dia sem programa",""))</f>
        <v/>
      </c>
    </row>
    <row r="253" customFormat="false" ht="15" hidden="false" customHeight="false" outlineLevel="0" collapsed="false">
      <c r="A253" s="7"/>
      <c r="B253" s="8"/>
      <c r="C253" s="8"/>
      <c r="D253" s="8"/>
      <c r="E253" s="9" t="str">
        <f aca="false">IF(A253="","",COUNTIF(Compromissos!A:A,A253)+COUNTIF(Transporte!A:A,A253))</f>
        <v/>
      </c>
      <c r="F253" s="9" t="str">
        <f aca="false">IF(A253="","",IF(AND(E253=0,C253=""),"Dia sem programa",""))</f>
        <v/>
      </c>
    </row>
    <row r="254" customFormat="false" ht="15" hidden="false" customHeight="false" outlineLevel="0" collapsed="false">
      <c r="A254" s="7"/>
      <c r="B254" s="8"/>
      <c r="C254" s="8"/>
      <c r="D254" s="8"/>
      <c r="E254" s="9" t="str">
        <f aca="false">IF(A254="","",COUNTIF(Compromissos!A:A,A254)+COUNTIF(Transporte!A:A,A254))</f>
        <v/>
      </c>
      <c r="F254" s="9" t="str">
        <f aca="false">IF(A254="","",IF(AND(E254=0,C254=""),"Dia sem programa",""))</f>
        <v/>
      </c>
    </row>
    <row r="255" customFormat="false" ht="15" hidden="false" customHeight="false" outlineLevel="0" collapsed="false">
      <c r="A255" s="7"/>
      <c r="B255" s="8"/>
      <c r="C255" s="8"/>
      <c r="D255" s="8"/>
      <c r="E255" s="9" t="str">
        <f aca="false">IF(A255="","",COUNTIF(Compromissos!A:A,A255)+COUNTIF(Transporte!A:A,A255))</f>
        <v/>
      </c>
      <c r="F255" s="9" t="str">
        <f aca="false">IF(A255="","",IF(AND(E255=0,C255=""),"Dia sem programa",""))</f>
        <v/>
      </c>
    </row>
    <row r="256" customFormat="false" ht="15" hidden="false" customHeight="false" outlineLevel="0" collapsed="false">
      <c r="A256" s="7"/>
      <c r="B256" s="8"/>
      <c r="C256" s="8"/>
      <c r="D256" s="8"/>
      <c r="E256" s="9" t="str">
        <f aca="false">IF(A256="","",COUNTIF(Compromissos!A:A,A256)+COUNTIF(Transporte!A:A,A256))</f>
        <v/>
      </c>
      <c r="F256" s="9" t="str">
        <f aca="false">IF(A256="","",IF(AND(E256=0,C256=""),"Dia sem programa",""))</f>
        <v/>
      </c>
    </row>
    <row r="257" customFormat="false" ht="15" hidden="false" customHeight="false" outlineLevel="0" collapsed="false">
      <c r="A257" s="7"/>
      <c r="B257" s="8"/>
      <c r="C257" s="8"/>
      <c r="D257" s="8"/>
      <c r="E257" s="9" t="str">
        <f aca="false">IF(A257="","",COUNTIF(Compromissos!A:A,A257)+COUNTIF(Transporte!A:A,A257))</f>
        <v/>
      </c>
      <c r="F257" s="9" t="str">
        <f aca="false">IF(A257="","",IF(AND(E257=0,C257=""),"Dia sem programa",""))</f>
        <v/>
      </c>
    </row>
    <row r="258" customFormat="false" ht="15" hidden="false" customHeight="false" outlineLevel="0" collapsed="false">
      <c r="A258" s="7"/>
      <c r="B258" s="8"/>
      <c r="C258" s="8"/>
      <c r="D258" s="8"/>
      <c r="E258" s="9" t="str">
        <f aca="false">IF(A258="","",COUNTIF(Compromissos!A:A,A258)+COUNTIF(Transporte!A:A,A258))</f>
        <v/>
      </c>
      <c r="F258" s="9" t="str">
        <f aca="false">IF(A258="","",IF(AND(E258=0,C258=""),"Dia sem programa",""))</f>
        <v/>
      </c>
    </row>
    <row r="259" customFormat="false" ht="15" hidden="false" customHeight="false" outlineLevel="0" collapsed="false">
      <c r="A259" s="7"/>
      <c r="B259" s="8"/>
      <c r="C259" s="8"/>
      <c r="D259" s="8"/>
      <c r="E259" s="9" t="str">
        <f aca="false">IF(A259="","",COUNTIF(Compromissos!A:A,A259)+COUNTIF(Transporte!A:A,A259))</f>
        <v/>
      </c>
      <c r="F259" s="9" t="str">
        <f aca="false">IF(A259="","",IF(AND(E259=0,C259=""),"Dia sem programa",""))</f>
        <v/>
      </c>
    </row>
    <row r="260" customFormat="false" ht="15" hidden="false" customHeight="false" outlineLevel="0" collapsed="false">
      <c r="A260" s="7"/>
      <c r="B260" s="8"/>
      <c r="C260" s="8"/>
      <c r="D260" s="8"/>
      <c r="E260" s="9" t="str">
        <f aca="false">IF(A260="","",COUNTIF(Compromissos!A:A,A260)+COUNTIF(Transporte!A:A,A260))</f>
        <v/>
      </c>
      <c r="F260" s="9" t="str">
        <f aca="false">IF(A260="","",IF(AND(E260=0,C260=""),"Dia sem programa",""))</f>
        <v/>
      </c>
    </row>
    <row r="261" customFormat="false" ht="15" hidden="false" customHeight="false" outlineLevel="0" collapsed="false">
      <c r="A261" s="7"/>
      <c r="B261" s="8"/>
      <c r="C261" s="8"/>
      <c r="D261" s="8"/>
      <c r="E261" s="9" t="str">
        <f aca="false">IF(A261="","",COUNTIF(Compromissos!A:A,A261)+COUNTIF(Transporte!A:A,A261))</f>
        <v/>
      </c>
      <c r="F261" s="9" t="str">
        <f aca="false">IF(A261="","",IF(AND(E261=0,C261=""),"Dia sem programa",""))</f>
        <v/>
      </c>
    </row>
    <row r="262" customFormat="false" ht="15" hidden="false" customHeight="false" outlineLevel="0" collapsed="false">
      <c r="A262" s="7"/>
      <c r="B262" s="8"/>
      <c r="C262" s="8"/>
      <c r="D262" s="8"/>
      <c r="E262" s="9" t="str">
        <f aca="false">IF(A262="","",COUNTIF(Compromissos!A:A,A262)+COUNTIF(Transporte!A:A,A262))</f>
        <v/>
      </c>
      <c r="F262" s="9" t="str">
        <f aca="false">IF(A262="","",IF(AND(E262=0,C262=""),"Dia sem programa",""))</f>
        <v/>
      </c>
    </row>
    <row r="263" customFormat="false" ht="15" hidden="false" customHeight="false" outlineLevel="0" collapsed="false">
      <c r="A263" s="7"/>
      <c r="B263" s="8"/>
      <c r="C263" s="8"/>
      <c r="D263" s="8"/>
      <c r="E263" s="9" t="str">
        <f aca="false">IF(A263="","",COUNTIF(Compromissos!A:A,A263)+COUNTIF(Transporte!A:A,A263))</f>
        <v/>
      </c>
      <c r="F263" s="9" t="str">
        <f aca="false">IF(A263="","",IF(AND(E263=0,C263=""),"Dia sem programa",""))</f>
        <v/>
      </c>
    </row>
    <row r="264" customFormat="false" ht="15" hidden="false" customHeight="false" outlineLevel="0" collapsed="false">
      <c r="A264" s="7"/>
      <c r="B264" s="8"/>
      <c r="C264" s="8"/>
      <c r="D264" s="8"/>
      <c r="E264" s="9" t="str">
        <f aca="false">IF(A264="","",COUNTIF(Compromissos!A:A,A264)+COUNTIF(Transporte!A:A,A264))</f>
        <v/>
      </c>
      <c r="F264" s="9" t="str">
        <f aca="false">IF(A264="","",IF(AND(E264=0,C264=""),"Dia sem programa",""))</f>
        <v/>
      </c>
    </row>
    <row r="265" customFormat="false" ht="15" hidden="false" customHeight="false" outlineLevel="0" collapsed="false">
      <c r="A265" s="7"/>
      <c r="B265" s="8"/>
      <c r="C265" s="8"/>
      <c r="D265" s="8"/>
      <c r="E265" s="9" t="str">
        <f aca="false">IF(A265="","",COUNTIF(Compromissos!A:A,A265)+COUNTIF(Transporte!A:A,A265))</f>
        <v/>
      </c>
      <c r="F265" s="9" t="str">
        <f aca="false">IF(A265="","",IF(AND(E265=0,C265=""),"Dia sem programa",""))</f>
        <v/>
      </c>
    </row>
    <row r="266" customFormat="false" ht="15" hidden="false" customHeight="false" outlineLevel="0" collapsed="false">
      <c r="A266" s="7"/>
      <c r="B266" s="8"/>
      <c r="C266" s="8"/>
      <c r="D266" s="8"/>
      <c r="E266" s="9" t="str">
        <f aca="false">IF(A266="","",COUNTIF(Compromissos!A:A,A266)+COUNTIF(Transporte!A:A,A266))</f>
        <v/>
      </c>
      <c r="F266" s="9" t="str">
        <f aca="false">IF(A266="","",IF(AND(E266=0,C266=""),"Dia sem programa",""))</f>
        <v/>
      </c>
    </row>
    <row r="267" customFormat="false" ht="15" hidden="false" customHeight="false" outlineLevel="0" collapsed="false">
      <c r="A267" s="7"/>
      <c r="B267" s="8"/>
      <c r="C267" s="8"/>
      <c r="D267" s="8"/>
      <c r="E267" s="9" t="str">
        <f aca="false">IF(A267="","",COUNTIF(Compromissos!A:A,A267)+COUNTIF(Transporte!A:A,A267))</f>
        <v/>
      </c>
      <c r="F267" s="9" t="str">
        <f aca="false">IF(A267="","",IF(AND(E267=0,C267=""),"Dia sem programa",""))</f>
        <v/>
      </c>
    </row>
    <row r="268" customFormat="false" ht="15" hidden="false" customHeight="false" outlineLevel="0" collapsed="false">
      <c r="A268" s="7"/>
      <c r="B268" s="8"/>
      <c r="C268" s="8"/>
      <c r="D268" s="8"/>
      <c r="E268" s="9" t="str">
        <f aca="false">IF(A268="","",COUNTIF(Compromissos!A:A,A268)+COUNTIF(Transporte!A:A,A268))</f>
        <v/>
      </c>
      <c r="F268" s="9" t="str">
        <f aca="false">IF(A268="","",IF(AND(E268=0,C268=""),"Dia sem programa",""))</f>
        <v/>
      </c>
    </row>
    <row r="269" customFormat="false" ht="15" hidden="false" customHeight="false" outlineLevel="0" collapsed="false">
      <c r="A269" s="7"/>
      <c r="B269" s="8"/>
      <c r="C269" s="8"/>
      <c r="D269" s="8"/>
      <c r="E269" s="9" t="str">
        <f aca="false">IF(A269="","",COUNTIF(Compromissos!A:A,A269)+COUNTIF(Transporte!A:A,A269))</f>
        <v/>
      </c>
      <c r="F269" s="9" t="str">
        <f aca="false">IF(A269="","",IF(AND(E269=0,C269=""),"Dia sem programa",""))</f>
        <v/>
      </c>
    </row>
    <row r="270" customFormat="false" ht="15" hidden="false" customHeight="false" outlineLevel="0" collapsed="false">
      <c r="A270" s="7"/>
      <c r="B270" s="8"/>
      <c r="C270" s="8"/>
      <c r="D270" s="8"/>
      <c r="E270" s="9" t="str">
        <f aca="false">IF(A270="","",COUNTIF(Compromissos!A:A,A270)+COUNTIF(Transporte!A:A,A270))</f>
        <v/>
      </c>
      <c r="F270" s="9" t="str">
        <f aca="false">IF(A270="","",IF(AND(E270=0,C270=""),"Dia sem programa",""))</f>
        <v/>
      </c>
    </row>
    <row r="271" customFormat="false" ht="15" hidden="false" customHeight="false" outlineLevel="0" collapsed="false">
      <c r="A271" s="7"/>
      <c r="B271" s="8"/>
      <c r="C271" s="8"/>
      <c r="D271" s="8"/>
      <c r="E271" s="9" t="str">
        <f aca="false">IF(A271="","",COUNTIF(Compromissos!A:A,A271)+COUNTIF(Transporte!A:A,A271))</f>
        <v/>
      </c>
      <c r="F271" s="9" t="str">
        <f aca="false">IF(A271="","",IF(AND(E271=0,C271=""),"Dia sem programa",""))</f>
        <v/>
      </c>
    </row>
    <row r="272" customFormat="false" ht="15" hidden="false" customHeight="false" outlineLevel="0" collapsed="false">
      <c r="A272" s="7"/>
      <c r="B272" s="8"/>
      <c r="C272" s="8"/>
      <c r="D272" s="8"/>
      <c r="E272" s="9" t="str">
        <f aca="false">IF(A272="","",COUNTIF(Compromissos!A:A,A272)+COUNTIF(Transporte!A:A,A272))</f>
        <v/>
      </c>
      <c r="F272" s="9" t="str">
        <f aca="false">IF(A272="","",IF(AND(E272=0,C272=""),"Dia sem programa",""))</f>
        <v/>
      </c>
    </row>
    <row r="273" customFormat="false" ht="15" hidden="false" customHeight="false" outlineLevel="0" collapsed="false">
      <c r="A273" s="7"/>
      <c r="B273" s="8"/>
      <c r="C273" s="8"/>
      <c r="D273" s="8"/>
      <c r="E273" s="9" t="str">
        <f aca="false">IF(A273="","",COUNTIF(Compromissos!A:A,A273)+COUNTIF(Transporte!A:A,A273))</f>
        <v/>
      </c>
      <c r="F273" s="9" t="str">
        <f aca="false">IF(A273="","",IF(AND(E273=0,C273=""),"Dia sem programa",""))</f>
        <v/>
      </c>
    </row>
    <row r="274" customFormat="false" ht="15" hidden="false" customHeight="false" outlineLevel="0" collapsed="false">
      <c r="A274" s="7"/>
      <c r="B274" s="8"/>
      <c r="C274" s="8"/>
      <c r="D274" s="8"/>
      <c r="E274" s="9" t="str">
        <f aca="false">IF(A274="","",COUNTIF(Compromissos!A:A,A274)+COUNTIF(Transporte!A:A,A274))</f>
        <v/>
      </c>
      <c r="F274" s="9" t="str">
        <f aca="false">IF(A274="","",IF(AND(E274=0,C274=""),"Dia sem programa",""))</f>
        <v/>
      </c>
    </row>
    <row r="275" customFormat="false" ht="15" hidden="false" customHeight="false" outlineLevel="0" collapsed="false">
      <c r="A275" s="7"/>
      <c r="B275" s="8"/>
      <c r="C275" s="8"/>
      <c r="D275" s="8"/>
      <c r="E275" s="9" t="str">
        <f aca="false">IF(A275="","",COUNTIF(Compromissos!A:A,A275)+COUNTIF(Transporte!A:A,A275))</f>
        <v/>
      </c>
      <c r="F275" s="9" t="str">
        <f aca="false">IF(A275="","",IF(AND(E275=0,C275=""),"Dia sem programa",""))</f>
        <v/>
      </c>
    </row>
    <row r="276" customFormat="false" ht="15" hidden="false" customHeight="false" outlineLevel="0" collapsed="false">
      <c r="A276" s="7"/>
      <c r="B276" s="8"/>
      <c r="C276" s="8"/>
      <c r="D276" s="8"/>
      <c r="E276" s="9" t="str">
        <f aca="false">IF(A276="","",COUNTIF(Compromissos!A:A,A276)+COUNTIF(Transporte!A:A,A276))</f>
        <v/>
      </c>
      <c r="F276" s="9" t="str">
        <f aca="false">IF(A276="","",IF(AND(E276=0,C276=""),"Dia sem programa",""))</f>
        <v/>
      </c>
    </row>
    <row r="277" customFormat="false" ht="15" hidden="false" customHeight="false" outlineLevel="0" collapsed="false">
      <c r="A277" s="7"/>
      <c r="B277" s="8"/>
      <c r="C277" s="8"/>
      <c r="D277" s="8"/>
      <c r="E277" s="9" t="str">
        <f aca="false">IF(A277="","",COUNTIF(Compromissos!A:A,A277)+COUNTIF(Transporte!A:A,A277))</f>
        <v/>
      </c>
      <c r="F277" s="9" t="str">
        <f aca="false">IF(A277="","",IF(AND(E277=0,C277=""),"Dia sem programa",""))</f>
        <v/>
      </c>
    </row>
    <row r="278" customFormat="false" ht="15" hidden="false" customHeight="false" outlineLevel="0" collapsed="false">
      <c r="A278" s="7"/>
      <c r="B278" s="8"/>
      <c r="C278" s="8"/>
      <c r="D278" s="8"/>
      <c r="E278" s="9" t="str">
        <f aca="false">IF(A278="","",COUNTIF(Compromissos!A:A,A278)+COUNTIF(Transporte!A:A,A278))</f>
        <v/>
      </c>
      <c r="F278" s="9" t="str">
        <f aca="false">IF(A278="","",IF(AND(E278=0,C278=""),"Dia sem programa",""))</f>
        <v/>
      </c>
    </row>
    <row r="279" customFormat="false" ht="15" hidden="false" customHeight="false" outlineLevel="0" collapsed="false">
      <c r="A279" s="7"/>
      <c r="B279" s="8"/>
      <c r="C279" s="8"/>
      <c r="D279" s="8"/>
      <c r="E279" s="9" t="str">
        <f aca="false">IF(A279="","",COUNTIF(Compromissos!A:A,A279)+COUNTIF(Transporte!A:A,A279))</f>
        <v/>
      </c>
      <c r="F279" s="9" t="str">
        <f aca="false">IF(A279="","",IF(AND(E279=0,C279=""),"Dia sem programa",""))</f>
        <v/>
      </c>
    </row>
    <row r="280" customFormat="false" ht="15" hidden="false" customHeight="false" outlineLevel="0" collapsed="false">
      <c r="A280" s="7"/>
      <c r="B280" s="8"/>
      <c r="C280" s="8"/>
      <c r="D280" s="8"/>
      <c r="E280" s="9" t="str">
        <f aca="false">IF(A280="","",COUNTIF(Compromissos!A:A,A280)+COUNTIF(Transporte!A:A,A280))</f>
        <v/>
      </c>
      <c r="F280" s="9" t="str">
        <f aca="false">IF(A280="","",IF(AND(E280=0,C280=""),"Dia sem programa",""))</f>
        <v/>
      </c>
    </row>
    <row r="281" customFormat="false" ht="15" hidden="false" customHeight="false" outlineLevel="0" collapsed="false">
      <c r="A281" s="7"/>
      <c r="B281" s="8"/>
      <c r="C281" s="8"/>
      <c r="D281" s="8"/>
      <c r="E281" s="9" t="str">
        <f aca="false">IF(A281="","",COUNTIF(Compromissos!A:A,A281)+COUNTIF(Transporte!A:A,A281))</f>
        <v/>
      </c>
      <c r="F281" s="9" t="str">
        <f aca="false">IF(A281="","",IF(AND(E281=0,C281=""),"Dia sem programa",""))</f>
        <v/>
      </c>
    </row>
    <row r="282" customFormat="false" ht="15" hidden="false" customHeight="false" outlineLevel="0" collapsed="false">
      <c r="A282" s="7"/>
      <c r="B282" s="8"/>
      <c r="C282" s="8"/>
      <c r="D282" s="8"/>
      <c r="E282" s="9" t="str">
        <f aca="false">IF(A282="","",COUNTIF(Compromissos!A:A,A282)+COUNTIF(Transporte!A:A,A282))</f>
        <v/>
      </c>
      <c r="F282" s="9" t="str">
        <f aca="false">IF(A282="","",IF(AND(E282=0,C282=""),"Dia sem programa",""))</f>
        <v/>
      </c>
    </row>
    <row r="283" customFormat="false" ht="15" hidden="false" customHeight="false" outlineLevel="0" collapsed="false">
      <c r="A283" s="7"/>
      <c r="B283" s="8"/>
      <c r="C283" s="8"/>
      <c r="D283" s="8"/>
      <c r="E283" s="9" t="str">
        <f aca="false">IF(A283="","",COUNTIF(Compromissos!A:A,A283)+COUNTIF(Transporte!A:A,A283))</f>
        <v/>
      </c>
      <c r="F283" s="9" t="str">
        <f aca="false">IF(A283="","",IF(AND(E283=0,C283=""),"Dia sem programa",""))</f>
        <v/>
      </c>
    </row>
    <row r="284" customFormat="false" ht="15" hidden="false" customHeight="false" outlineLevel="0" collapsed="false">
      <c r="A284" s="7"/>
      <c r="B284" s="8"/>
      <c r="C284" s="8"/>
      <c r="D284" s="8"/>
      <c r="E284" s="9" t="str">
        <f aca="false">IF(A284="","",COUNTIF(Compromissos!A:A,A284)+COUNTIF(Transporte!A:A,A284))</f>
        <v/>
      </c>
      <c r="F284" s="9" t="str">
        <f aca="false">IF(A284="","",IF(AND(E284=0,C284=""),"Dia sem programa",""))</f>
        <v/>
      </c>
    </row>
    <row r="285" customFormat="false" ht="15" hidden="false" customHeight="false" outlineLevel="0" collapsed="false">
      <c r="A285" s="7"/>
      <c r="B285" s="8"/>
      <c r="C285" s="8"/>
      <c r="D285" s="8"/>
      <c r="E285" s="9" t="str">
        <f aca="false">IF(A285="","",COUNTIF(Compromissos!A:A,A285)+COUNTIF(Transporte!A:A,A285))</f>
        <v/>
      </c>
      <c r="F285" s="9" t="str">
        <f aca="false">IF(A285="","",IF(AND(E285=0,C285=""),"Dia sem programa",""))</f>
        <v/>
      </c>
    </row>
    <row r="286" customFormat="false" ht="15" hidden="false" customHeight="false" outlineLevel="0" collapsed="false">
      <c r="A286" s="7"/>
      <c r="B286" s="8"/>
      <c r="C286" s="8"/>
      <c r="D286" s="8"/>
      <c r="E286" s="9" t="str">
        <f aca="false">IF(A286="","",COUNTIF(Compromissos!A:A,A286)+COUNTIF(Transporte!A:A,A286))</f>
        <v/>
      </c>
      <c r="F286" s="9" t="str">
        <f aca="false">IF(A286="","",IF(AND(E286=0,C286=""),"Dia sem programa",""))</f>
        <v/>
      </c>
    </row>
    <row r="287" customFormat="false" ht="15" hidden="false" customHeight="false" outlineLevel="0" collapsed="false">
      <c r="A287" s="7"/>
      <c r="B287" s="8"/>
      <c r="C287" s="8"/>
      <c r="D287" s="8"/>
      <c r="E287" s="9" t="str">
        <f aca="false">IF(A287="","",COUNTIF(Compromissos!A:A,A287)+COUNTIF(Transporte!A:A,A287))</f>
        <v/>
      </c>
      <c r="F287" s="9" t="str">
        <f aca="false">IF(A287="","",IF(AND(E287=0,C287=""),"Dia sem programa",""))</f>
        <v/>
      </c>
    </row>
    <row r="288" customFormat="false" ht="15" hidden="false" customHeight="false" outlineLevel="0" collapsed="false">
      <c r="A288" s="7"/>
      <c r="B288" s="8"/>
      <c r="C288" s="8"/>
      <c r="D288" s="8"/>
      <c r="E288" s="9" t="str">
        <f aca="false">IF(A288="","",COUNTIF(Compromissos!A:A,A288)+COUNTIF(Transporte!A:A,A288))</f>
        <v/>
      </c>
      <c r="F288" s="9" t="str">
        <f aca="false">IF(A288="","",IF(AND(E288=0,C288=""),"Dia sem programa",""))</f>
        <v/>
      </c>
    </row>
    <row r="289" customFormat="false" ht="15" hidden="false" customHeight="false" outlineLevel="0" collapsed="false">
      <c r="A289" s="7"/>
      <c r="B289" s="8"/>
      <c r="C289" s="8"/>
      <c r="D289" s="8"/>
      <c r="E289" s="9" t="str">
        <f aca="false">IF(A289="","",COUNTIF(Compromissos!A:A,A289)+COUNTIF(Transporte!A:A,A289))</f>
        <v/>
      </c>
      <c r="F289" s="9" t="str">
        <f aca="false">IF(A289="","",IF(AND(E289=0,C289=""),"Dia sem programa",""))</f>
        <v/>
      </c>
    </row>
    <row r="290" customFormat="false" ht="15" hidden="false" customHeight="false" outlineLevel="0" collapsed="false">
      <c r="A290" s="7"/>
      <c r="B290" s="8"/>
      <c r="C290" s="8"/>
      <c r="D290" s="8"/>
      <c r="E290" s="9" t="str">
        <f aca="false">IF(A290="","",COUNTIF(Compromissos!A:A,A290)+COUNTIF(Transporte!A:A,A290))</f>
        <v/>
      </c>
      <c r="F290" s="9" t="str">
        <f aca="false">IF(A290="","",IF(AND(E290=0,C290=""),"Dia sem programa",""))</f>
        <v/>
      </c>
    </row>
    <row r="291" customFormat="false" ht="15" hidden="false" customHeight="false" outlineLevel="0" collapsed="false">
      <c r="A291" s="7"/>
      <c r="B291" s="8"/>
      <c r="C291" s="8"/>
      <c r="D291" s="8"/>
      <c r="E291" s="9" t="str">
        <f aca="false">IF(A291="","",COUNTIF(Compromissos!A:A,A291)+COUNTIF(Transporte!A:A,A291))</f>
        <v/>
      </c>
      <c r="F291" s="9" t="str">
        <f aca="false">IF(A291="","",IF(AND(E291=0,C291=""),"Dia sem programa",""))</f>
        <v/>
      </c>
    </row>
    <row r="292" customFormat="false" ht="15" hidden="false" customHeight="false" outlineLevel="0" collapsed="false">
      <c r="A292" s="7"/>
      <c r="B292" s="8"/>
      <c r="C292" s="8"/>
      <c r="D292" s="8"/>
      <c r="E292" s="9" t="str">
        <f aca="false">IF(A292="","",COUNTIF(Compromissos!A:A,A292)+COUNTIF(Transporte!A:A,A292))</f>
        <v/>
      </c>
      <c r="F292" s="9" t="str">
        <f aca="false">IF(A292="","",IF(AND(E292=0,C292=""),"Dia sem programa",""))</f>
        <v/>
      </c>
    </row>
    <row r="293" customFormat="false" ht="15" hidden="false" customHeight="false" outlineLevel="0" collapsed="false">
      <c r="A293" s="7"/>
      <c r="B293" s="8"/>
      <c r="C293" s="8"/>
      <c r="D293" s="8"/>
      <c r="E293" s="9" t="str">
        <f aca="false">IF(A293="","",COUNTIF(Compromissos!A:A,A293)+COUNTIF(Transporte!A:A,A293))</f>
        <v/>
      </c>
      <c r="F293" s="9" t="str">
        <f aca="false">IF(A293="","",IF(AND(E293=0,C293=""),"Dia sem programa",""))</f>
        <v/>
      </c>
    </row>
    <row r="294" customFormat="false" ht="15" hidden="false" customHeight="false" outlineLevel="0" collapsed="false">
      <c r="A294" s="7"/>
      <c r="B294" s="8"/>
      <c r="C294" s="8"/>
      <c r="D294" s="8"/>
      <c r="E294" s="9" t="str">
        <f aca="false">IF(A294="","",COUNTIF(Compromissos!A:A,A294)+COUNTIF(Transporte!A:A,A294))</f>
        <v/>
      </c>
      <c r="F294" s="9" t="str">
        <f aca="false">IF(A294="","",IF(AND(E294=0,C294=""),"Dia sem programa",""))</f>
        <v/>
      </c>
    </row>
    <row r="295" customFormat="false" ht="15" hidden="false" customHeight="false" outlineLevel="0" collapsed="false">
      <c r="A295" s="7"/>
      <c r="B295" s="8"/>
      <c r="C295" s="8"/>
      <c r="D295" s="8"/>
      <c r="E295" s="9" t="str">
        <f aca="false">IF(A295="","",COUNTIF(Compromissos!A:A,A295)+COUNTIF(Transporte!A:A,A295))</f>
        <v/>
      </c>
      <c r="F295" s="9" t="str">
        <f aca="false">IF(A295="","",IF(AND(E295=0,C295=""),"Dia sem programa",""))</f>
        <v/>
      </c>
    </row>
    <row r="296" customFormat="false" ht="15" hidden="false" customHeight="false" outlineLevel="0" collapsed="false">
      <c r="A296" s="7"/>
      <c r="B296" s="8"/>
      <c r="C296" s="8"/>
      <c r="D296" s="8"/>
      <c r="E296" s="9" t="str">
        <f aca="false">IF(A296="","",COUNTIF(Compromissos!A:A,A296)+COUNTIF(Transporte!A:A,A296))</f>
        <v/>
      </c>
      <c r="F296" s="9" t="str">
        <f aca="false">IF(A296="","",IF(AND(E296=0,C296=""),"Dia sem programa",""))</f>
        <v/>
      </c>
    </row>
    <row r="297" customFormat="false" ht="15" hidden="false" customHeight="false" outlineLevel="0" collapsed="false">
      <c r="A297" s="7"/>
      <c r="B297" s="8"/>
      <c r="C297" s="8"/>
      <c r="D297" s="8"/>
      <c r="E297" s="9" t="str">
        <f aca="false">IF(A297="","",COUNTIF(Compromissos!A:A,A297)+COUNTIF(Transporte!A:A,A297))</f>
        <v/>
      </c>
      <c r="F297" s="9" t="str">
        <f aca="false">IF(A297="","",IF(AND(E297=0,C297=""),"Dia sem programa",""))</f>
        <v/>
      </c>
    </row>
    <row r="298" customFormat="false" ht="15" hidden="false" customHeight="false" outlineLevel="0" collapsed="false">
      <c r="A298" s="7"/>
      <c r="B298" s="8"/>
      <c r="C298" s="8"/>
      <c r="D298" s="8"/>
      <c r="E298" s="9" t="str">
        <f aca="false">IF(A298="","",COUNTIF(Compromissos!A:A,A298)+COUNTIF(Transporte!A:A,A298))</f>
        <v/>
      </c>
      <c r="F298" s="9" t="str">
        <f aca="false">IF(A298="","",IF(AND(E298=0,C298=""),"Dia sem programa",""))</f>
        <v/>
      </c>
    </row>
    <row r="299" customFormat="false" ht="15" hidden="false" customHeight="false" outlineLevel="0" collapsed="false">
      <c r="A299" s="7"/>
      <c r="B299" s="8"/>
      <c r="C299" s="8"/>
      <c r="D299" s="8"/>
      <c r="E299" s="9" t="str">
        <f aca="false">IF(A299="","",COUNTIF(Compromissos!A:A,A299)+COUNTIF(Transporte!A:A,A299))</f>
        <v/>
      </c>
      <c r="F299" s="9" t="str">
        <f aca="false">IF(A299="","",IF(AND(E299=0,C299=""),"Dia sem programa",""))</f>
        <v/>
      </c>
    </row>
    <row r="300" customFormat="false" ht="15" hidden="false" customHeight="false" outlineLevel="0" collapsed="false">
      <c r="A300" s="7"/>
      <c r="B300" s="8"/>
      <c r="C300" s="8"/>
      <c r="D300" s="8"/>
      <c r="E300" s="9" t="str">
        <f aca="false">IF(A300="","",COUNTIF(Compromissos!A:A,A300)+COUNTIF(Transporte!A:A,A300))</f>
        <v/>
      </c>
      <c r="F300" s="9" t="str">
        <f aca="false">IF(A300="","",IF(AND(E300=0,C300=""),"Dia sem programa",""))</f>
        <v/>
      </c>
    </row>
    <row r="301" customFormat="false" ht="15" hidden="false" customHeight="false" outlineLevel="0" collapsed="false">
      <c r="A301" s="7"/>
      <c r="B301" s="8"/>
      <c r="C301" s="8"/>
      <c r="D301" s="8"/>
      <c r="E301" s="9" t="str">
        <f aca="false">IF(A301="","",COUNTIF(Compromissos!A:A,A301)+COUNTIF(Transporte!A:A,A301))</f>
        <v/>
      </c>
      <c r="F301" s="9" t="str">
        <f aca="false">IF(A301="","",IF(AND(E301=0,C301=""),"Dia sem programa",""))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9"/>
    <col collapsed="false" customWidth="true" hidden="false" outlineLevel="0" max="3" min="3" style="0" width="11"/>
    <col collapsed="false" customWidth="true" hidden="false" outlineLevel="0" max="4" min="4" style="0" width="14"/>
    <col collapsed="false" customWidth="true" hidden="false" outlineLevel="0" max="5" min="5" style="0" width="30"/>
    <col collapsed="false" customWidth="true" hidden="false" outlineLevel="0" max="6" min="6" style="0" width="34"/>
    <col collapsed="false" customWidth="true" hidden="false" outlineLevel="0" max="8" min="7" style="0" width="9"/>
    <col collapsed="false" customWidth="true" hidden="false" outlineLevel="0" max="10" min="9" style="0" width="10"/>
    <col collapsed="false" customWidth="true" hidden="false" outlineLevel="0" max="11" min="11" style="0" width="13"/>
    <col collapsed="false" customWidth="true" hidden="false" outlineLevel="0" max="13" min="12" style="0" width="18"/>
    <col collapsed="false" customWidth="true" hidden="false" outlineLevel="0" max="14" min="14" style="0" width="9"/>
    <col collapsed="false" customWidth="true" hidden="false" outlineLevel="0" max="15" min="15" style="0" width="16"/>
    <col collapsed="false" customWidth="true" hidden="false" outlineLevel="0" max="16" min="16" style="0" width="12"/>
    <col collapsed="false" customWidth="true" hidden="false" outlineLevel="0" max="17" min="17" style="0" width="8"/>
    <col collapsed="false" customWidth="true" hidden="false" outlineLevel="0" max="18" min="18" style="0" width="40"/>
    <col collapsed="false" customWidth="true" hidden="false" outlineLevel="0" max="19" min="19" style="0" width="44"/>
  </cols>
  <sheetData>
    <row r="1" customFormat="false" ht="31.5" hidden="false" customHeight="true" outlineLevel="0" collapsed="false">
      <c r="A1" s="4" t="s">
        <v>26</v>
      </c>
      <c r="B1" s="5" t="s">
        <v>32</v>
      </c>
      <c r="C1" s="5" t="s">
        <v>33</v>
      </c>
      <c r="D1" s="4" t="s">
        <v>10</v>
      </c>
      <c r="E1" s="4" t="s">
        <v>34</v>
      </c>
      <c r="F1" s="5" t="s">
        <v>35</v>
      </c>
      <c r="G1" s="5" t="s">
        <v>36</v>
      </c>
      <c r="H1" s="5" t="s">
        <v>37</v>
      </c>
      <c r="I1" s="5" t="s">
        <v>38</v>
      </c>
      <c r="J1" s="5" t="s">
        <v>16</v>
      </c>
      <c r="K1" s="5" t="s">
        <v>12</v>
      </c>
      <c r="L1" s="5" t="s">
        <v>39</v>
      </c>
      <c r="M1" s="5" t="s">
        <v>40</v>
      </c>
      <c r="N1" s="5" t="s">
        <v>41</v>
      </c>
      <c r="O1" s="5" t="s">
        <v>42</v>
      </c>
      <c r="P1" s="5" t="s">
        <v>43</v>
      </c>
      <c r="Q1" s="5" t="s">
        <v>44</v>
      </c>
      <c r="R1" s="5" t="s">
        <v>45</v>
      </c>
      <c r="S1" s="6" t="s">
        <v>31</v>
      </c>
    </row>
    <row r="2" customFormat="false" ht="15" hidden="false" customHeight="false" outlineLevel="0" collapsed="false">
      <c r="A2" s="7"/>
      <c r="B2" s="10"/>
      <c r="C2" s="11"/>
      <c r="D2" s="8"/>
      <c r="E2" s="8"/>
      <c r="F2" s="8"/>
      <c r="G2" s="10"/>
      <c r="H2" s="10"/>
      <c r="I2" s="8"/>
      <c r="J2" s="11"/>
      <c r="K2" s="8"/>
      <c r="L2" s="8"/>
      <c r="M2" s="8"/>
      <c r="N2" s="11"/>
      <c r="O2" s="8"/>
      <c r="P2" s="12"/>
      <c r="Q2" s="8"/>
      <c r="R2" s="8"/>
      <c r="S2" s="9" t="str">
        <f aca="false">IF(E2="","",IF(AND(OR(D2="Restaurante",D2="Ingresso"),OR(K2="",K2="A decidir")),"Reserva a decidir; ","")&amp;IF(AND(D2="Ingresso",K2="Não"),"Ingresso não comprado; ","")&amp;IF(AND(K2="Sim",L2=""),"Reserva sem código; ","")&amp;IF(I2="Sim","Fechado no dia; ","")&amp;IF(AND(B2&lt;&gt;"",G2&lt;&gt;"",B2&lt;G2),"Antes de abrir; ","")&amp;IF(AND(B2&lt;&gt;"",H2&lt;&gt;"",B2+C2/1440&gt;H2),"Depois de fechar; ",""))</f>
        <v/>
      </c>
    </row>
    <row r="3" customFormat="false" ht="15" hidden="false" customHeight="false" outlineLevel="0" collapsed="false">
      <c r="A3" s="7"/>
      <c r="B3" s="10"/>
      <c r="C3" s="11"/>
      <c r="D3" s="8"/>
      <c r="E3" s="8"/>
      <c r="F3" s="8"/>
      <c r="G3" s="10"/>
      <c r="H3" s="10"/>
      <c r="I3" s="8"/>
      <c r="J3" s="11"/>
      <c r="K3" s="8"/>
      <c r="L3" s="8"/>
      <c r="M3" s="8"/>
      <c r="N3" s="11"/>
      <c r="O3" s="8"/>
      <c r="P3" s="12"/>
      <c r="Q3" s="8"/>
      <c r="R3" s="8"/>
      <c r="S3" s="9" t="str">
        <f aca="false">IF(E3="","",IF(AND(OR(D3="Restaurante",D3="Ingresso"),OR(K3="",K3="A decidir")),"Reserva a decidir; ","")&amp;IF(AND(D3="Ingresso",K3="Não"),"Ingresso não comprado; ","")&amp;IF(AND(K3="Sim",L3=""),"Reserva sem código; ","")&amp;IF(I3="Sim","Fechado no dia; ","")&amp;IF(AND(B3&lt;&gt;"",G3&lt;&gt;"",B3&lt;G3),"Antes de abrir; ","")&amp;IF(AND(B3&lt;&gt;"",H3&lt;&gt;"",B3+C3/1440&gt;H3),"Depois de fechar; ",""))</f>
        <v/>
      </c>
    </row>
    <row r="4" customFormat="false" ht="15" hidden="false" customHeight="false" outlineLevel="0" collapsed="false">
      <c r="A4" s="7"/>
      <c r="B4" s="10"/>
      <c r="C4" s="11"/>
      <c r="D4" s="8"/>
      <c r="E4" s="8"/>
      <c r="F4" s="8"/>
      <c r="G4" s="10"/>
      <c r="H4" s="10"/>
      <c r="I4" s="8"/>
      <c r="J4" s="11"/>
      <c r="K4" s="8"/>
      <c r="L4" s="8"/>
      <c r="M4" s="8"/>
      <c r="N4" s="11"/>
      <c r="O4" s="8"/>
      <c r="P4" s="12"/>
      <c r="Q4" s="8"/>
      <c r="R4" s="8"/>
      <c r="S4" s="9" t="str">
        <f aca="false">IF(E4="","",IF(AND(OR(D4="Restaurante",D4="Ingresso"),OR(K4="",K4="A decidir")),"Reserva a decidir; ","")&amp;IF(AND(D4="Ingresso",K4="Não"),"Ingresso não comprado; ","")&amp;IF(AND(K4="Sim",L4=""),"Reserva sem código; ","")&amp;IF(I4="Sim","Fechado no dia; ","")&amp;IF(AND(B4&lt;&gt;"",G4&lt;&gt;"",B4&lt;G4),"Antes de abrir; ","")&amp;IF(AND(B4&lt;&gt;"",H4&lt;&gt;"",B4+C4/1440&gt;H4),"Depois de fechar; ",""))</f>
        <v/>
      </c>
    </row>
    <row r="5" customFormat="false" ht="15" hidden="false" customHeight="false" outlineLevel="0" collapsed="false">
      <c r="A5" s="7"/>
      <c r="B5" s="10"/>
      <c r="C5" s="11"/>
      <c r="D5" s="8"/>
      <c r="E5" s="8"/>
      <c r="F5" s="8"/>
      <c r="G5" s="10"/>
      <c r="H5" s="10"/>
      <c r="I5" s="8"/>
      <c r="J5" s="11"/>
      <c r="K5" s="8"/>
      <c r="L5" s="8"/>
      <c r="M5" s="8"/>
      <c r="N5" s="11"/>
      <c r="O5" s="8"/>
      <c r="P5" s="12"/>
      <c r="Q5" s="8"/>
      <c r="R5" s="8"/>
      <c r="S5" s="9" t="str">
        <f aca="false">IF(E5="","",IF(AND(OR(D5="Restaurante",D5="Ingresso"),OR(K5="",K5="A decidir")),"Reserva a decidir; ","")&amp;IF(AND(D5="Ingresso",K5="Não"),"Ingresso não comprado; ","")&amp;IF(AND(K5="Sim",L5=""),"Reserva sem código; ","")&amp;IF(I5="Sim","Fechado no dia; ","")&amp;IF(AND(B5&lt;&gt;"",G5&lt;&gt;"",B5&lt;G5),"Antes de abrir; ","")&amp;IF(AND(B5&lt;&gt;"",H5&lt;&gt;"",B5+C5/1440&gt;H5),"Depois de fechar; ",""))</f>
        <v/>
      </c>
    </row>
    <row r="6" customFormat="false" ht="15" hidden="false" customHeight="false" outlineLevel="0" collapsed="false">
      <c r="A6" s="7"/>
      <c r="B6" s="10"/>
      <c r="C6" s="11"/>
      <c r="D6" s="8"/>
      <c r="E6" s="8"/>
      <c r="F6" s="8"/>
      <c r="G6" s="10"/>
      <c r="H6" s="10"/>
      <c r="I6" s="8"/>
      <c r="J6" s="11"/>
      <c r="K6" s="8"/>
      <c r="L6" s="8"/>
      <c r="M6" s="8"/>
      <c r="N6" s="11"/>
      <c r="O6" s="8"/>
      <c r="P6" s="12"/>
      <c r="Q6" s="8"/>
      <c r="R6" s="8"/>
      <c r="S6" s="9" t="str">
        <f aca="false">IF(E6="","",IF(AND(OR(D6="Restaurante",D6="Ingresso"),OR(K6="",K6="A decidir")),"Reserva a decidir; ","")&amp;IF(AND(D6="Ingresso",K6="Não"),"Ingresso não comprado; ","")&amp;IF(AND(K6="Sim",L6=""),"Reserva sem código; ","")&amp;IF(I6="Sim","Fechado no dia; ","")&amp;IF(AND(B6&lt;&gt;"",G6&lt;&gt;"",B6&lt;G6),"Antes de abrir; ","")&amp;IF(AND(B6&lt;&gt;"",H6&lt;&gt;"",B6+C6/1440&gt;H6),"Depois de fechar; ",""))</f>
        <v/>
      </c>
    </row>
    <row r="7" customFormat="false" ht="15" hidden="false" customHeight="false" outlineLevel="0" collapsed="false">
      <c r="A7" s="7"/>
      <c r="B7" s="10"/>
      <c r="C7" s="11"/>
      <c r="D7" s="8"/>
      <c r="E7" s="8"/>
      <c r="F7" s="8"/>
      <c r="G7" s="10"/>
      <c r="H7" s="10"/>
      <c r="I7" s="8"/>
      <c r="J7" s="11"/>
      <c r="K7" s="8"/>
      <c r="L7" s="8"/>
      <c r="M7" s="8"/>
      <c r="N7" s="11"/>
      <c r="O7" s="8"/>
      <c r="P7" s="12"/>
      <c r="Q7" s="8"/>
      <c r="R7" s="8"/>
      <c r="S7" s="9" t="str">
        <f aca="false">IF(E7="","",IF(AND(OR(D7="Restaurante",D7="Ingresso"),OR(K7="",K7="A decidir")),"Reserva a decidir; ","")&amp;IF(AND(D7="Ingresso",K7="Não"),"Ingresso não comprado; ","")&amp;IF(AND(K7="Sim",L7=""),"Reserva sem código; ","")&amp;IF(I7="Sim","Fechado no dia; ","")&amp;IF(AND(B7&lt;&gt;"",G7&lt;&gt;"",B7&lt;G7),"Antes de abrir; ","")&amp;IF(AND(B7&lt;&gt;"",H7&lt;&gt;"",B7+C7/1440&gt;H7),"Depois de fechar; ",""))</f>
        <v/>
      </c>
    </row>
    <row r="8" customFormat="false" ht="15" hidden="false" customHeight="false" outlineLevel="0" collapsed="false">
      <c r="A8" s="7"/>
      <c r="B8" s="10"/>
      <c r="C8" s="11"/>
      <c r="D8" s="8"/>
      <c r="E8" s="8"/>
      <c r="F8" s="8"/>
      <c r="G8" s="10"/>
      <c r="H8" s="10"/>
      <c r="I8" s="8"/>
      <c r="J8" s="11"/>
      <c r="K8" s="8"/>
      <c r="L8" s="8"/>
      <c r="M8" s="8"/>
      <c r="N8" s="11"/>
      <c r="O8" s="8"/>
      <c r="P8" s="12"/>
      <c r="Q8" s="8"/>
      <c r="R8" s="8"/>
      <c r="S8" s="9" t="str">
        <f aca="false">IF(E8="","",IF(AND(OR(D8="Restaurante",D8="Ingresso"),OR(K8="",K8="A decidir")),"Reserva a decidir; ","")&amp;IF(AND(D8="Ingresso",K8="Não"),"Ingresso não comprado; ","")&amp;IF(AND(K8="Sim",L8=""),"Reserva sem código; ","")&amp;IF(I8="Sim","Fechado no dia; ","")&amp;IF(AND(B8&lt;&gt;"",G8&lt;&gt;"",B8&lt;G8),"Antes de abrir; ","")&amp;IF(AND(B8&lt;&gt;"",H8&lt;&gt;"",B8+C8/1440&gt;H8),"Depois de fechar; ",""))</f>
        <v/>
      </c>
    </row>
    <row r="9" customFormat="false" ht="15" hidden="false" customHeight="false" outlineLevel="0" collapsed="false">
      <c r="A9" s="7"/>
      <c r="B9" s="10"/>
      <c r="C9" s="11"/>
      <c r="D9" s="8"/>
      <c r="E9" s="8"/>
      <c r="F9" s="8"/>
      <c r="G9" s="10"/>
      <c r="H9" s="10"/>
      <c r="I9" s="8"/>
      <c r="J9" s="11"/>
      <c r="K9" s="8"/>
      <c r="L9" s="8"/>
      <c r="M9" s="8"/>
      <c r="N9" s="11"/>
      <c r="O9" s="8"/>
      <c r="P9" s="12"/>
      <c r="Q9" s="8"/>
      <c r="R9" s="8"/>
      <c r="S9" s="9" t="str">
        <f aca="false">IF(E9="","",IF(AND(OR(D9="Restaurante",D9="Ingresso"),OR(K9="",K9="A decidir")),"Reserva a decidir; ","")&amp;IF(AND(D9="Ingresso",K9="Não"),"Ingresso não comprado; ","")&amp;IF(AND(K9="Sim",L9=""),"Reserva sem código; ","")&amp;IF(I9="Sim","Fechado no dia; ","")&amp;IF(AND(B9&lt;&gt;"",G9&lt;&gt;"",B9&lt;G9),"Antes de abrir; ","")&amp;IF(AND(B9&lt;&gt;"",H9&lt;&gt;"",B9+C9/1440&gt;H9),"Depois de fechar; ",""))</f>
        <v/>
      </c>
    </row>
    <row r="10" customFormat="false" ht="15" hidden="false" customHeight="false" outlineLevel="0" collapsed="false">
      <c r="A10" s="7"/>
      <c r="B10" s="10"/>
      <c r="C10" s="11"/>
      <c r="D10" s="8"/>
      <c r="E10" s="8"/>
      <c r="F10" s="8"/>
      <c r="G10" s="10"/>
      <c r="H10" s="10"/>
      <c r="I10" s="8"/>
      <c r="J10" s="11"/>
      <c r="K10" s="8"/>
      <c r="L10" s="8"/>
      <c r="M10" s="8"/>
      <c r="N10" s="11"/>
      <c r="O10" s="8"/>
      <c r="P10" s="12"/>
      <c r="Q10" s="8"/>
      <c r="R10" s="8"/>
      <c r="S10" s="9" t="str">
        <f aca="false">IF(E10="","",IF(AND(OR(D10="Restaurante",D10="Ingresso"),OR(K10="",K10="A decidir")),"Reserva a decidir; ","")&amp;IF(AND(D10="Ingresso",K10="Não"),"Ingresso não comprado; ","")&amp;IF(AND(K10="Sim",L10=""),"Reserva sem código; ","")&amp;IF(I10="Sim","Fechado no dia; ","")&amp;IF(AND(B10&lt;&gt;"",G10&lt;&gt;"",B10&lt;G10),"Antes de abrir; ","")&amp;IF(AND(B10&lt;&gt;"",H10&lt;&gt;"",B10+C10/1440&gt;H10),"Depois de fechar; ",""))</f>
        <v/>
      </c>
    </row>
    <row r="11" customFormat="false" ht="15" hidden="false" customHeight="false" outlineLevel="0" collapsed="false">
      <c r="A11" s="7"/>
      <c r="B11" s="10"/>
      <c r="C11" s="11"/>
      <c r="D11" s="8"/>
      <c r="E11" s="8"/>
      <c r="F11" s="8"/>
      <c r="G11" s="10"/>
      <c r="H11" s="10"/>
      <c r="I11" s="8"/>
      <c r="J11" s="11"/>
      <c r="K11" s="8"/>
      <c r="L11" s="8"/>
      <c r="M11" s="8"/>
      <c r="N11" s="11"/>
      <c r="O11" s="8"/>
      <c r="P11" s="12"/>
      <c r="Q11" s="8"/>
      <c r="R11" s="8"/>
      <c r="S11" s="9" t="str">
        <f aca="false">IF(E11="","",IF(AND(OR(D11="Restaurante",D11="Ingresso"),OR(K11="",K11="A decidir")),"Reserva a decidir; ","")&amp;IF(AND(D11="Ingresso",K11="Não"),"Ingresso não comprado; ","")&amp;IF(AND(K11="Sim",L11=""),"Reserva sem código; ","")&amp;IF(I11="Sim","Fechado no dia; ","")&amp;IF(AND(B11&lt;&gt;"",G11&lt;&gt;"",B11&lt;G11),"Antes de abrir; ","")&amp;IF(AND(B11&lt;&gt;"",H11&lt;&gt;"",B11+C11/1440&gt;H11),"Depois de fechar; ",""))</f>
        <v/>
      </c>
    </row>
    <row r="12" customFormat="false" ht="15" hidden="false" customHeight="false" outlineLevel="0" collapsed="false">
      <c r="A12" s="7"/>
      <c r="B12" s="10"/>
      <c r="C12" s="11"/>
      <c r="D12" s="8"/>
      <c r="E12" s="8"/>
      <c r="F12" s="8"/>
      <c r="G12" s="10"/>
      <c r="H12" s="10"/>
      <c r="I12" s="8"/>
      <c r="J12" s="11"/>
      <c r="K12" s="8"/>
      <c r="L12" s="8"/>
      <c r="M12" s="8"/>
      <c r="N12" s="11"/>
      <c r="O12" s="8"/>
      <c r="P12" s="12"/>
      <c r="Q12" s="8"/>
      <c r="R12" s="8"/>
      <c r="S12" s="9" t="str">
        <f aca="false">IF(E12="","",IF(AND(OR(D12="Restaurante",D12="Ingresso"),OR(K12="",K12="A decidir")),"Reserva a decidir; ","")&amp;IF(AND(D12="Ingresso",K12="Não"),"Ingresso não comprado; ","")&amp;IF(AND(K12="Sim",L12=""),"Reserva sem código; ","")&amp;IF(I12="Sim","Fechado no dia; ","")&amp;IF(AND(B12&lt;&gt;"",G12&lt;&gt;"",B12&lt;G12),"Antes de abrir; ","")&amp;IF(AND(B12&lt;&gt;"",H12&lt;&gt;"",B12+C12/1440&gt;H12),"Depois de fechar; ",""))</f>
        <v/>
      </c>
    </row>
    <row r="13" customFormat="false" ht="15" hidden="false" customHeight="false" outlineLevel="0" collapsed="false">
      <c r="A13" s="7"/>
      <c r="B13" s="10"/>
      <c r="C13" s="11"/>
      <c r="D13" s="8"/>
      <c r="E13" s="8"/>
      <c r="F13" s="8"/>
      <c r="G13" s="10"/>
      <c r="H13" s="10"/>
      <c r="I13" s="8"/>
      <c r="J13" s="11"/>
      <c r="K13" s="8"/>
      <c r="L13" s="8"/>
      <c r="M13" s="8"/>
      <c r="N13" s="11"/>
      <c r="O13" s="8"/>
      <c r="P13" s="12"/>
      <c r="Q13" s="8"/>
      <c r="R13" s="8"/>
      <c r="S13" s="9" t="str">
        <f aca="false">IF(E13="","",IF(AND(OR(D13="Restaurante",D13="Ingresso"),OR(K13="",K13="A decidir")),"Reserva a decidir; ","")&amp;IF(AND(D13="Ingresso",K13="Não"),"Ingresso não comprado; ","")&amp;IF(AND(K13="Sim",L13=""),"Reserva sem código; ","")&amp;IF(I13="Sim","Fechado no dia; ","")&amp;IF(AND(B13&lt;&gt;"",G13&lt;&gt;"",B13&lt;G13),"Antes de abrir; ","")&amp;IF(AND(B13&lt;&gt;"",H13&lt;&gt;"",B13+C13/1440&gt;H13),"Depois de fechar; ",""))</f>
        <v/>
      </c>
    </row>
    <row r="14" customFormat="false" ht="15" hidden="false" customHeight="false" outlineLevel="0" collapsed="false">
      <c r="A14" s="7"/>
      <c r="B14" s="10"/>
      <c r="C14" s="11"/>
      <c r="D14" s="8"/>
      <c r="E14" s="8"/>
      <c r="F14" s="8"/>
      <c r="G14" s="10"/>
      <c r="H14" s="10"/>
      <c r="I14" s="8"/>
      <c r="J14" s="11"/>
      <c r="K14" s="8"/>
      <c r="L14" s="8"/>
      <c r="M14" s="8"/>
      <c r="N14" s="11"/>
      <c r="O14" s="8"/>
      <c r="P14" s="12"/>
      <c r="Q14" s="8"/>
      <c r="R14" s="8"/>
      <c r="S14" s="9" t="str">
        <f aca="false">IF(E14="","",IF(AND(OR(D14="Restaurante",D14="Ingresso"),OR(K14="",K14="A decidir")),"Reserva a decidir; ","")&amp;IF(AND(D14="Ingresso",K14="Não"),"Ingresso não comprado; ","")&amp;IF(AND(K14="Sim",L14=""),"Reserva sem código; ","")&amp;IF(I14="Sim","Fechado no dia; ","")&amp;IF(AND(B14&lt;&gt;"",G14&lt;&gt;"",B14&lt;G14),"Antes de abrir; ","")&amp;IF(AND(B14&lt;&gt;"",H14&lt;&gt;"",B14+C14/1440&gt;H14),"Depois de fechar; ",""))</f>
        <v/>
      </c>
    </row>
    <row r="15" customFormat="false" ht="15" hidden="false" customHeight="false" outlineLevel="0" collapsed="false">
      <c r="A15" s="7"/>
      <c r="B15" s="10"/>
      <c r="C15" s="11"/>
      <c r="D15" s="8"/>
      <c r="E15" s="8"/>
      <c r="F15" s="8"/>
      <c r="G15" s="10"/>
      <c r="H15" s="10"/>
      <c r="I15" s="8"/>
      <c r="J15" s="11"/>
      <c r="K15" s="8"/>
      <c r="L15" s="8"/>
      <c r="M15" s="8"/>
      <c r="N15" s="11"/>
      <c r="O15" s="8"/>
      <c r="P15" s="12"/>
      <c r="Q15" s="8"/>
      <c r="R15" s="8"/>
      <c r="S15" s="9" t="str">
        <f aca="false">IF(E15="","",IF(AND(OR(D15="Restaurante",D15="Ingresso"),OR(K15="",K15="A decidir")),"Reserva a decidir; ","")&amp;IF(AND(D15="Ingresso",K15="Não"),"Ingresso não comprado; ","")&amp;IF(AND(K15="Sim",L15=""),"Reserva sem código; ","")&amp;IF(I15="Sim","Fechado no dia; ","")&amp;IF(AND(B15&lt;&gt;"",G15&lt;&gt;"",B15&lt;G15),"Antes de abrir; ","")&amp;IF(AND(B15&lt;&gt;"",H15&lt;&gt;"",B15+C15/1440&gt;H15),"Depois de fechar; ",""))</f>
        <v/>
      </c>
    </row>
    <row r="16" customFormat="false" ht="15" hidden="false" customHeight="false" outlineLevel="0" collapsed="false">
      <c r="A16" s="7"/>
      <c r="B16" s="10"/>
      <c r="C16" s="11"/>
      <c r="D16" s="8"/>
      <c r="E16" s="8"/>
      <c r="F16" s="8"/>
      <c r="G16" s="10"/>
      <c r="H16" s="10"/>
      <c r="I16" s="8"/>
      <c r="J16" s="11"/>
      <c r="K16" s="8"/>
      <c r="L16" s="8"/>
      <c r="M16" s="8"/>
      <c r="N16" s="11"/>
      <c r="O16" s="8"/>
      <c r="P16" s="12"/>
      <c r="Q16" s="8"/>
      <c r="R16" s="8"/>
      <c r="S16" s="9" t="str">
        <f aca="false">IF(E16="","",IF(AND(OR(D16="Restaurante",D16="Ingresso"),OR(K16="",K16="A decidir")),"Reserva a decidir; ","")&amp;IF(AND(D16="Ingresso",K16="Não"),"Ingresso não comprado; ","")&amp;IF(AND(K16="Sim",L16=""),"Reserva sem código; ","")&amp;IF(I16="Sim","Fechado no dia; ","")&amp;IF(AND(B16&lt;&gt;"",G16&lt;&gt;"",B16&lt;G16),"Antes de abrir; ","")&amp;IF(AND(B16&lt;&gt;"",H16&lt;&gt;"",B16+C16/1440&gt;H16),"Depois de fechar; ",""))</f>
        <v/>
      </c>
    </row>
    <row r="17" customFormat="false" ht="15" hidden="false" customHeight="false" outlineLevel="0" collapsed="false">
      <c r="A17" s="7"/>
      <c r="B17" s="10"/>
      <c r="C17" s="11"/>
      <c r="D17" s="8"/>
      <c r="E17" s="8"/>
      <c r="F17" s="8"/>
      <c r="G17" s="10"/>
      <c r="H17" s="10"/>
      <c r="I17" s="8"/>
      <c r="J17" s="11"/>
      <c r="K17" s="8"/>
      <c r="L17" s="8"/>
      <c r="M17" s="8"/>
      <c r="N17" s="11"/>
      <c r="O17" s="8"/>
      <c r="P17" s="12"/>
      <c r="Q17" s="8"/>
      <c r="R17" s="8"/>
      <c r="S17" s="9" t="str">
        <f aca="false">IF(E17="","",IF(AND(OR(D17="Restaurante",D17="Ingresso"),OR(K17="",K17="A decidir")),"Reserva a decidir; ","")&amp;IF(AND(D17="Ingresso",K17="Não"),"Ingresso não comprado; ","")&amp;IF(AND(K17="Sim",L17=""),"Reserva sem código; ","")&amp;IF(I17="Sim","Fechado no dia; ","")&amp;IF(AND(B17&lt;&gt;"",G17&lt;&gt;"",B17&lt;G17),"Antes de abrir; ","")&amp;IF(AND(B17&lt;&gt;"",H17&lt;&gt;"",B17+C17/1440&gt;H17),"Depois de fechar; ",""))</f>
        <v/>
      </c>
    </row>
    <row r="18" customFormat="false" ht="15" hidden="false" customHeight="false" outlineLevel="0" collapsed="false">
      <c r="A18" s="7"/>
      <c r="B18" s="10"/>
      <c r="C18" s="11"/>
      <c r="D18" s="8"/>
      <c r="E18" s="8"/>
      <c r="F18" s="8"/>
      <c r="G18" s="10"/>
      <c r="H18" s="10"/>
      <c r="I18" s="8"/>
      <c r="J18" s="11"/>
      <c r="K18" s="8"/>
      <c r="L18" s="8"/>
      <c r="M18" s="8"/>
      <c r="N18" s="11"/>
      <c r="O18" s="8"/>
      <c r="P18" s="12"/>
      <c r="Q18" s="8"/>
      <c r="R18" s="8"/>
      <c r="S18" s="9" t="str">
        <f aca="false">IF(E18="","",IF(AND(OR(D18="Restaurante",D18="Ingresso"),OR(K18="",K18="A decidir")),"Reserva a decidir; ","")&amp;IF(AND(D18="Ingresso",K18="Não"),"Ingresso não comprado; ","")&amp;IF(AND(K18="Sim",L18=""),"Reserva sem código; ","")&amp;IF(I18="Sim","Fechado no dia; ","")&amp;IF(AND(B18&lt;&gt;"",G18&lt;&gt;"",B18&lt;G18),"Antes de abrir; ","")&amp;IF(AND(B18&lt;&gt;"",H18&lt;&gt;"",B18+C18/1440&gt;H18),"Depois de fechar; ",""))</f>
        <v/>
      </c>
    </row>
    <row r="19" customFormat="false" ht="15" hidden="false" customHeight="false" outlineLevel="0" collapsed="false">
      <c r="A19" s="7"/>
      <c r="B19" s="10"/>
      <c r="C19" s="11"/>
      <c r="D19" s="8"/>
      <c r="E19" s="8"/>
      <c r="F19" s="8"/>
      <c r="G19" s="10"/>
      <c r="H19" s="10"/>
      <c r="I19" s="8"/>
      <c r="J19" s="11"/>
      <c r="K19" s="8"/>
      <c r="L19" s="8"/>
      <c r="M19" s="8"/>
      <c r="N19" s="11"/>
      <c r="O19" s="8"/>
      <c r="P19" s="12"/>
      <c r="Q19" s="8"/>
      <c r="R19" s="8"/>
      <c r="S19" s="9" t="str">
        <f aca="false">IF(E19="","",IF(AND(OR(D19="Restaurante",D19="Ingresso"),OR(K19="",K19="A decidir")),"Reserva a decidir; ","")&amp;IF(AND(D19="Ingresso",K19="Não"),"Ingresso não comprado; ","")&amp;IF(AND(K19="Sim",L19=""),"Reserva sem código; ","")&amp;IF(I19="Sim","Fechado no dia; ","")&amp;IF(AND(B19&lt;&gt;"",G19&lt;&gt;"",B19&lt;G19),"Antes de abrir; ","")&amp;IF(AND(B19&lt;&gt;"",H19&lt;&gt;"",B19+C19/1440&gt;H19),"Depois de fechar; ",""))</f>
        <v/>
      </c>
    </row>
    <row r="20" customFormat="false" ht="15" hidden="false" customHeight="false" outlineLevel="0" collapsed="false">
      <c r="A20" s="7"/>
      <c r="B20" s="10"/>
      <c r="C20" s="11"/>
      <c r="D20" s="8"/>
      <c r="E20" s="8"/>
      <c r="F20" s="8"/>
      <c r="G20" s="10"/>
      <c r="H20" s="10"/>
      <c r="I20" s="8"/>
      <c r="J20" s="11"/>
      <c r="K20" s="8"/>
      <c r="L20" s="8"/>
      <c r="M20" s="8"/>
      <c r="N20" s="11"/>
      <c r="O20" s="8"/>
      <c r="P20" s="12"/>
      <c r="Q20" s="8"/>
      <c r="R20" s="8"/>
      <c r="S20" s="9" t="str">
        <f aca="false">IF(E20="","",IF(AND(OR(D20="Restaurante",D20="Ingresso"),OR(K20="",K20="A decidir")),"Reserva a decidir; ","")&amp;IF(AND(D20="Ingresso",K20="Não"),"Ingresso não comprado; ","")&amp;IF(AND(K20="Sim",L20=""),"Reserva sem código; ","")&amp;IF(I20="Sim","Fechado no dia; ","")&amp;IF(AND(B20&lt;&gt;"",G20&lt;&gt;"",B20&lt;G20),"Antes de abrir; ","")&amp;IF(AND(B20&lt;&gt;"",H20&lt;&gt;"",B20+C20/1440&gt;H20),"Depois de fechar; ",""))</f>
        <v/>
      </c>
    </row>
    <row r="21" customFormat="false" ht="15" hidden="false" customHeight="false" outlineLevel="0" collapsed="false">
      <c r="A21" s="7"/>
      <c r="B21" s="10"/>
      <c r="C21" s="11"/>
      <c r="D21" s="8"/>
      <c r="E21" s="8"/>
      <c r="F21" s="8"/>
      <c r="G21" s="10"/>
      <c r="H21" s="10"/>
      <c r="I21" s="8"/>
      <c r="J21" s="11"/>
      <c r="K21" s="8"/>
      <c r="L21" s="8"/>
      <c r="M21" s="8"/>
      <c r="N21" s="11"/>
      <c r="O21" s="8"/>
      <c r="P21" s="12"/>
      <c r="Q21" s="8"/>
      <c r="R21" s="8"/>
      <c r="S21" s="9" t="str">
        <f aca="false">IF(E21="","",IF(AND(OR(D21="Restaurante",D21="Ingresso"),OR(K21="",K21="A decidir")),"Reserva a decidir; ","")&amp;IF(AND(D21="Ingresso",K21="Não"),"Ingresso não comprado; ","")&amp;IF(AND(K21="Sim",L21=""),"Reserva sem código; ","")&amp;IF(I21="Sim","Fechado no dia; ","")&amp;IF(AND(B21&lt;&gt;"",G21&lt;&gt;"",B21&lt;G21),"Antes de abrir; ","")&amp;IF(AND(B21&lt;&gt;"",H21&lt;&gt;"",B21+C21/1440&gt;H21),"Depois de fechar; ",""))</f>
        <v/>
      </c>
    </row>
    <row r="22" customFormat="false" ht="15" hidden="false" customHeight="false" outlineLevel="0" collapsed="false">
      <c r="A22" s="7"/>
      <c r="B22" s="10"/>
      <c r="C22" s="11"/>
      <c r="D22" s="8"/>
      <c r="E22" s="8"/>
      <c r="F22" s="8"/>
      <c r="G22" s="10"/>
      <c r="H22" s="10"/>
      <c r="I22" s="8"/>
      <c r="J22" s="11"/>
      <c r="K22" s="8"/>
      <c r="L22" s="8"/>
      <c r="M22" s="8"/>
      <c r="N22" s="11"/>
      <c r="O22" s="8"/>
      <c r="P22" s="12"/>
      <c r="Q22" s="8"/>
      <c r="R22" s="8"/>
      <c r="S22" s="9" t="str">
        <f aca="false">IF(E22="","",IF(AND(OR(D22="Restaurante",D22="Ingresso"),OR(K22="",K22="A decidir")),"Reserva a decidir; ","")&amp;IF(AND(D22="Ingresso",K22="Não"),"Ingresso não comprado; ","")&amp;IF(AND(K22="Sim",L22=""),"Reserva sem código; ","")&amp;IF(I22="Sim","Fechado no dia; ","")&amp;IF(AND(B22&lt;&gt;"",G22&lt;&gt;"",B22&lt;G22),"Antes de abrir; ","")&amp;IF(AND(B22&lt;&gt;"",H22&lt;&gt;"",B22+C22/1440&gt;H22),"Depois de fechar; ",""))</f>
        <v/>
      </c>
    </row>
    <row r="23" customFormat="false" ht="15" hidden="false" customHeight="false" outlineLevel="0" collapsed="false">
      <c r="A23" s="7"/>
      <c r="B23" s="10"/>
      <c r="C23" s="11"/>
      <c r="D23" s="8"/>
      <c r="E23" s="8"/>
      <c r="F23" s="8"/>
      <c r="G23" s="10"/>
      <c r="H23" s="10"/>
      <c r="I23" s="8"/>
      <c r="J23" s="11"/>
      <c r="K23" s="8"/>
      <c r="L23" s="8"/>
      <c r="M23" s="8"/>
      <c r="N23" s="11"/>
      <c r="O23" s="8"/>
      <c r="P23" s="12"/>
      <c r="Q23" s="8"/>
      <c r="R23" s="8"/>
      <c r="S23" s="9" t="str">
        <f aca="false">IF(E23="","",IF(AND(OR(D23="Restaurante",D23="Ingresso"),OR(K23="",K23="A decidir")),"Reserva a decidir; ","")&amp;IF(AND(D23="Ingresso",K23="Não"),"Ingresso não comprado; ","")&amp;IF(AND(K23="Sim",L23=""),"Reserva sem código; ","")&amp;IF(I23="Sim","Fechado no dia; ","")&amp;IF(AND(B23&lt;&gt;"",G23&lt;&gt;"",B23&lt;G23),"Antes de abrir; ","")&amp;IF(AND(B23&lt;&gt;"",H23&lt;&gt;"",B23+C23/1440&gt;H23),"Depois de fechar; ",""))</f>
        <v/>
      </c>
    </row>
    <row r="24" customFormat="false" ht="15" hidden="false" customHeight="false" outlineLevel="0" collapsed="false">
      <c r="A24" s="7"/>
      <c r="B24" s="10"/>
      <c r="C24" s="11"/>
      <c r="D24" s="8"/>
      <c r="E24" s="8"/>
      <c r="F24" s="8"/>
      <c r="G24" s="10"/>
      <c r="H24" s="10"/>
      <c r="I24" s="8"/>
      <c r="J24" s="11"/>
      <c r="K24" s="8"/>
      <c r="L24" s="8"/>
      <c r="M24" s="8"/>
      <c r="N24" s="11"/>
      <c r="O24" s="8"/>
      <c r="P24" s="12"/>
      <c r="Q24" s="8"/>
      <c r="R24" s="8"/>
      <c r="S24" s="9" t="str">
        <f aca="false">IF(E24="","",IF(AND(OR(D24="Restaurante",D24="Ingresso"),OR(K24="",K24="A decidir")),"Reserva a decidir; ","")&amp;IF(AND(D24="Ingresso",K24="Não"),"Ingresso não comprado; ","")&amp;IF(AND(K24="Sim",L24=""),"Reserva sem código; ","")&amp;IF(I24="Sim","Fechado no dia; ","")&amp;IF(AND(B24&lt;&gt;"",G24&lt;&gt;"",B24&lt;G24),"Antes de abrir; ","")&amp;IF(AND(B24&lt;&gt;"",H24&lt;&gt;"",B24+C24/1440&gt;H24),"Depois de fechar; ",""))</f>
        <v/>
      </c>
    </row>
    <row r="25" customFormat="false" ht="15" hidden="false" customHeight="false" outlineLevel="0" collapsed="false">
      <c r="A25" s="7"/>
      <c r="B25" s="10"/>
      <c r="C25" s="11"/>
      <c r="D25" s="8"/>
      <c r="E25" s="8"/>
      <c r="F25" s="8"/>
      <c r="G25" s="10"/>
      <c r="H25" s="10"/>
      <c r="I25" s="8"/>
      <c r="J25" s="11"/>
      <c r="K25" s="8"/>
      <c r="L25" s="8"/>
      <c r="M25" s="8"/>
      <c r="N25" s="11"/>
      <c r="O25" s="8"/>
      <c r="P25" s="12"/>
      <c r="Q25" s="8"/>
      <c r="R25" s="8"/>
      <c r="S25" s="9" t="str">
        <f aca="false">IF(E25="","",IF(AND(OR(D25="Restaurante",D25="Ingresso"),OR(K25="",K25="A decidir")),"Reserva a decidir; ","")&amp;IF(AND(D25="Ingresso",K25="Não"),"Ingresso não comprado; ","")&amp;IF(AND(K25="Sim",L25=""),"Reserva sem código; ","")&amp;IF(I25="Sim","Fechado no dia; ","")&amp;IF(AND(B25&lt;&gt;"",G25&lt;&gt;"",B25&lt;G25),"Antes de abrir; ","")&amp;IF(AND(B25&lt;&gt;"",H25&lt;&gt;"",B25+C25/1440&gt;H25),"Depois de fechar; ",""))</f>
        <v/>
      </c>
    </row>
    <row r="26" customFormat="false" ht="15" hidden="false" customHeight="false" outlineLevel="0" collapsed="false">
      <c r="A26" s="7"/>
      <c r="B26" s="10"/>
      <c r="C26" s="11"/>
      <c r="D26" s="8"/>
      <c r="E26" s="8"/>
      <c r="F26" s="8"/>
      <c r="G26" s="10"/>
      <c r="H26" s="10"/>
      <c r="I26" s="8"/>
      <c r="J26" s="11"/>
      <c r="K26" s="8"/>
      <c r="L26" s="8"/>
      <c r="M26" s="8"/>
      <c r="N26" s="11"/>
      <c r="O26" s="8"/>
      <c r="P26" s="12"/>
      <c r="Q26" s="8"/>
      <c r="R26" s="8"/>
      <c r="S26" s="9" t="str">
        <f aca="false">IF(E26="","",IF(AND(OR(D26="Restaurante",D26="Ingresso"),OR(K26="",K26="A decidir")),"Reserva a decidir; ","")&amp;IF(AND(D26="Ingresso",K26="Não"),"Ingresso não comprado; ","")&amp;IF(AND(K26="Sim",L26=""),"Reserva sem código; ","")&amp;IF(I26="Sim","Fechado no dia; ","")&amp;IF(AND(B26&lt;&gt;"",G26&lt;&gt;"",B26&lt;G26),"Antes de abrir; ","")&amp;IF(AND(B26&lt;&gt;"",H26&lt;&gt;"",B26+C26/1440&gt;H26),"Depois de fechar; ",""))</f>
        <v/>
      </c>
    </row>
    <row r="27" customFormat="false" ht="15" hidden="false" customHeight="false" outlineLevel="0" collapsed="false">
      <c r="A27" s="7"/>
      <c r="B27" s="10"/>
      <c r="C27" s="11"/>
      <c r="D27" s="8"/>
      <c r="E27" s="8"/>
      <c r="F27" s="8"/>
      <c r="G27" s="10"/>
      <c r="H27" s="10"/>
      <c r="I27" s="8"/>
      <c r="J27" s="11"/>
      <c r="K27" s="8"/>
      <c r="L27" s="8"/>
      <c r="M27" s="8"/>
      <c r="N27" s="11"/>
      <c r="O27" s="8"/>
      <c r="P27" s="12"/>
      <c r="Q27" s="8"/>
      <c r="R27" s="8"/>
      <c r="S27" s="9" t="str">
        <f aca="false">IF(E27="","",IF(AND(OR(D27="Restaurante",D27="Ingresso"),OR(K27="",K27="A decidir")),"Reserva a decidir; ","")&amp;IF(AND(D27="Ingresso",K27="Não"),"Ingresso não comprado; ","")&amp;IF(AND(K27="Sim",L27=""),"Reserva sem código; ","")&amp;IF(I27="Sim","Fechado no dia; ","")&amp;IF(AND(B27&lt;&gt;"",G27&lt;&gt;"",B27&lt;G27),"Antes de abrir; ","")&amp;IF(AND(B27&lt;&gt;"",H27&lt;&gt;"",B27+C27/1440&gt;H27),"Depois de fechar; ",""))</f>
        <v/>
      </c>
    </row>
    <row r="28" customFormat="false" ht="15" hidden="false" customHeight="false" outlineLevel="0" collapsed="false">
      <c r="A28" s="7"/>
      <c r="B28" s="10"/>
      <c r="C28" s="11"/>
      <c r="D28" s="8"/>
      <c r="E28" s="8"/>
      <c r="F28" s="8"/>
      <c r="G28" s="10"/>
      <c r="H28" s="10"/>
      <c r="I28" s="8"/>
      <c r="J28" s="11"/>
      <c r="K28" s="8"/>
      <c r="L28" s="8"/>
      <c r="M28" s="8"/>
      <c r="N28" s="11"/>
      <c r="O28" s="8"/>
      <c r="P28" s="12"/>
      <c r="Q28" s="8"/>
      <c r="R28" s="8"/>
      <c r="S28" s="9" t="str">
        <f aca="false">IF(E28="","",IF(AND(OR(D28="Restaurante",D28="Ingresso"),OR(K28="",K28="A decidir")),"Reserva a decidir; ","")&amp;IF(AND(D28="Ingresso",K28="Não"),"Ingresso não comprado; ","")&amp;IF(AND(K28="Sim",L28=""),"Reserva sem código; ","")&amp;IF(I28="Sim","Fechado no dia; ","")&amp;IF(AND(B28&lt;&gt;"",G28&lt;&gt;"",B28&lt;G28),"Antes de abrir; ","")&amp;IF(AND(B28&lt;&gt;"",H28&lt;&gt;"",B28+C28/1440&gt;H28),"Depois de fechar; ",""))</f>
        <v/>
      </c>
    </row>
    <row r="29" customFormat="false" ht="15" hidden="false" customHeight="false" outlineLevel="0" collapsed="false">
      <c r="A29" s="7"/>
      <c r="B29" s="10"/>
      <c r="C29" s="11"/>
      <c r="D29" s="8"/>
      <c r="E29" s="8"/>
      <c r="F29" s="8"/>
      <c r="G29" s="10"/>
      <c r="H29" s="10"/>
      <c r="I29" s="8"/>
      <c r="J29" s="11"/>
      <c r="K29" s="8"/>
      <c r="L29" s="8"/>
      <c r="M29" s="8"/>
      <c r="N29" s="11"/>
      <c r="O29" s="8"/>
      <c r="P29" s="12"/>
      <c r="Q29" s="8"/>
      <c r="R29" s="8"/>
      <c r="S29" s="9" t="str">
        <f aca="false">IF(E29="","",IF(AND(OR(D29="Restaurante",D29="Ingresso"),OR(K29="",K29="A decidir")),"Reserva a decidir; ","")&amp;IF(AND(D29="Ingresso",K29="Não"),"Ingresso não comprado; ","")&amp;IF(AND(K29="Sim",L29=""),"Reserva sem código; ","")&amp;IF(I29="Sim","Fechado no dia; ","")&amp;IF(AND(B29&lt;&gt;"",G29&lt;&gt;"",B29&lt;G29),"Antes de abrir; ","")&amp;IF(AND(B29&lt;&gt;"",H29&lt;&gt;"",B29+C29/1440&gt;H29),"Depois de fechar; ",""))</f>
        <v/>
      </c>
    </row>
    <row r="30" customFormat="false" ht="15" hidden="false" customHeight="false" outlineLevel="0" collapsed="false">
      <c r="A30" s="7"/>
      <c r="B30" s="10"/>
      <c r="C30" s="11"/>
      <c r="D30" s="8"/>
      <c r="E30" s="8"/>
      <c r="F30" s="8"/>
      <c r="G30" s="10"/>
      <c r="H30" s="10"/>
      <c r="I30" s="8"/>
      <c r="J30" s="11"/>
      <c r="K30" s="8"/>
      <c r="L30" s="8"/>
      <c r="M30" s="8"/>
      <c r="N30" s="11"/>
      <c r="O30" s="8"/>
      <c r="P30" s="12"/>
      <c r="Q30" s="8"/>
      <c r="R30" s="8"/>
      <c r="S30" s="9" t="str">
        <f aca="false">IF(E30="","",IF(AND(OR(D30="Restaurante",D30="Ingresso"),OR(K30="",K30="A decidir")),"Reserva a decidir; ","")&amp;IF(AND(D30="Ingresso",K30="Não"),"Ingresso não comprado; ","")&amp;IF(AND(K30="Sim",L30=""),"Reserva sem código; ","")&amp;IF(I30="Sim","Fechado no dia; ","")&amp;IF(AND(B30&lt;&gt;"",G30&lt;&gt;"",B30&lt;G30),"Antes de abrir; ","")&amp;IF(AND(B30&lt;&gt;"",H30&lt;&gt;"",B30+C30/1440&gt;H30),"Depois de fechar; ",""))</f>
        <v/>
      </c>
    </row>
    <row r="31" customFormat="false" ht="15" hidden="false" customHeight="false" outlineLevel="0" collapsed="false">
      <c r="A31" s="7"/>
      <c r="B31" s="10"/>
      <c r="C31" s="11"/>
      <c r="D31" s="8"/>
      <c r="E31" s="8"/>
      <c r="F31" s="8"/>
      <c r="G31" s="10"/>
      <c r="H31" s="10"/>
      <c r="I31" s="8"/>
      <c r="J31" s="11"/>
      <c r="K31" s="8"/>
      <c r="L31" s="8"/>
      <c r="M31" s="8"/>
      <c r="N31" s="11"/>
      <c r="O31" s="8"/>
      <c r="P31" s="12"/>
      <c r="Q31" s="8"/>
      <c r="R31" s="8"/>
      <c r="S31" s="9" t="str">
        <f aca="false">IF(E31="","",IF(AND(OR(D31="Restaurante",D31="Ingresso"),OR(K31="",K31="A decidir")),"Reserva a decidir; ","")&amp;IF(AND(D31="Ingresso",K31="Não"),"Ingresso não comprado; ","")&amp;IF(AND(K31="Sim",L31=""),"Reserva sem código; ","")&amp;IF(I31="Sim","Fechado no dia; ","")&amp;IF(AND(B31&lt;&gt;"",G31&lt;&gt;"",B31&lt;G31),"Antes de abrir; ","")&amp;IF(AND(B31&lt;&gt;"",H31&lt;&gt;"",B31+C31/1440&gt;H31),"Depois de fechar; ",""))</f>
        <v/>
      </c>
    </row>
    <row r="32" customFormat="false" ht="15" hidden="false" customHeight="false" outlineLevel="0" collapsed="false">
      <c r="A32" s="7"/>
      <c r="B32" s="10"/>
      <c r="C32" s="11"/>
      <c r="D32" s="8"/>
      <c r="E32" s="8"/>
      <c r="F32" s="8"/>
      <c r="G32" s="10"/>
      <c r="H32" s="10"/>
      <c r="I32" s="8"/>
      <c r="J32" s="11"/>
      <c r="K32" s="8"/>
      <c r="L32" s="8"/>
      <c r="M32" s="8"/>
      <c r="N32" s="11"/>
      <c r="O32" s="8"/>
      <c r="P32" s="12"/>
      <c r="Q32" s="8"/>
      <c r="R32" s="8"/>
      <c r="S32" s="9" t="str">
        <f aca="false">IF(E32="","",IF(AND(OR(D32="Restaurante",D32="Ingresso"),OR(K32="",K32="A decidir")),"Reserva a decidir; ","")&amp;IF(AND(D32="Ingresso",K32="Não"),"Ingresso não comprado; ","")&amp;IF(AND(K32="Sim",L32=""),"Reserva sem código; ","")&amp;IF(I32="Sim","Fechado no dia; ","")&amp;IF(AND(B32&lt;&gt;"",G32&lt;&gt;"",B32&lt;G32),"Antes de abrir; ","")&amp;IF(AND(B32&lt;&gt;"",H32&lt;&gt;"",B32+C32/1440&gt;H32),"Depois de fechar; ",""))</f>
        <v/>
      </c>
    </row>
    <row r="33" customFormat="false" ht="15" hidden="false" customHeight="false" outlineLevel="0" collapsed="false">
      <c r="A33" s="7"/>
      <c r="B33" s="10"/>
      <c r="C33" s="11"/>
      <c r="D33" s="8"/>
      <c r="E33" s="8"/>
      <c r="F33" s="8"/>
      <c r="G33" s="10"/>
      <c r="H33" s="10"/>
      <c r="I33" s="8"/>
      <c r="J33" s="11"/>
      <c r="K33" s="8"/>
      <c r="L33" s="8"/>
      <c r="M33" s="8"/>
      <c r="N33" s="11"/>
      <c r="O33" s="8"/>
      <c r="P33" s="12"/>
      <c r="Q33" s="8"/>
      <c r="R33" s="8"/>
      <c r="S33" s="9" t="str">
        <f aca="false">IF(E33="","",IF(AND(OR(D33="Restaurante",D33="Ingresso"),OR(K33="",K33="A decidir")),"Reserva a decidir; ","")&amp;IF(AND(D33="Ingresso",K33="Não"),"Ingresso não comprado; ","")&amp;IF(AND(K33="Sim",L33=""),"Reserva sem código; ","")&amp;IF(I33="Sim","Fechado no dia; ","")&amp;IF(AND(B33&lt;&gt;"",G33&lt;&gt;"",B33&lt;G33),"Antes de abrir; ","")&amp;IF(AND(B33&lt;&gt;"",H33&lt;&gt;"",B33+C33/1440&gt;H33),"Depois de fechar; ",""))</f>
        <v/>
      </c>
    </row>
    <row r="34" customFormat="false" ht="15" hidden="false" customHeight="false" outlineLevel="0" collapsed="false">
      <c r="A34" s="7"/>
      <c r="B34" s="10"/>
      <c r="C34" s="11"/>
      <c r="D34" s="8"/>
      <c r="E34" s="8"/>
      <c r="F34" s="8"/>
      <c r="G34" s="10"/>
      <c r="H34" s="10"/>
      <c r="I34" s="8"/>
      <c r="J34" s="11"/>
      <c r="K34" s="8"/>
      <c r="L34" s="8"/>
      <c r="M34" s="8"/>
      <c r="N34" s="11"/>
      <c r="O34" s="8"/>
      <c r="P34" s="12"/>
      <c r="Q34" s="8"/>
      <c r="R34" s="8"/>
      <c r="S34" s="9" t="str">
        <f aca="false">IF(E34="","",IF(AND(OR(D34="Restaurante",D34="Ingresso"),OR(K34="",K34="A decidir")),"Reserva a decidir; ","")&amp;IF(AND(D34="Ingresso",K34="Não"),"Ingresso não comprado; ","")&amp;IF(AND(K34="Sim",L34=""),"Reserva sem código; ","")&amp;IF(I34="Sim","Fechado no dia; ","")&amp;IF(AND(B34&lt;&gt;"",G34&lt;&gt;"",B34&lt;G34),"Antes de abrir; ","")&amp;IF(AND(B34&lt;&gt;"",H34&lt;&gt;"",B34+C34/1440&gt;H34),"Depois de fechar; ",""))</f>
        <v/>
      </c>
    </row>
    <row r="35" customFormat="false" ht="15" hidden="false" customHeight="false" outlineLevel="0" collapsed="false">
      <c r="A35" s="7"/>
      <c r="B35" s="10"/>
      <c r="C35" s="11"/>
      <c r="D35" s="8"/>
      <c r="E35" s="8"/>
      <c r="F35" s="8"/>
      <c r="G35" s="10"/>
      <c r="H35" s="10"/>
      <c r="I35" s="8"/>
      <c r="J35" s="11"/>
      <c r="K35" s="8"/>
      <c r="L35" s="8"/>
      <c r="M35" s="8"/>
      <c r="N35" s="11"/>
      <c r="O35" s="8"/>
      <c r="P35" s="12"/>
      <c r="Q35" s="8"/>
      <c r="R35" s="8"/>
      <c r="S35" s="9" t="str">
        <f aca="false">IF(E35="","",IF(AND(OR(D35="Restaurante",D35="Ingresso"),OR(K35="",K35="A decidir")),"Reserva a decidir; ","")&amp;IF(AND(D35="Ingresso",K35="Não"),"Ingresso não comprado; ","")&amp;IF(AND(K35="Sim",L35=""),"Reserva sem código; ","")&amp;IF(I35="Sim","Fechado no dia; ","")&amp;IF(AND(B35&lt;&gt;"",G35&lt;&gt;"",B35&lt;G35),"Antes de abrir; ","")&amp;IF(AND(B35&lt;&gt;"",H35&lt;&gt;"",B35+C35/1440&gt;H35),"Depois de fechar; ",""))</f>
        <v/>
      </c>
    </row>
    <row r="36" customFormat="false" ht="15" hidden="false" customHeight="false" outlineLevel="0" collapsed="false">
      <c r="A36" s="7"/>
      <c r="B36" s="10"/>
      <c r="C36" s="11"/>
      <c r="D36" s="8"/>
      <c r="E36" s="8"/>
      <c r="F36" s="8"/>
      <c r="G36" s="10"/>
      <c r="H36" s="10"/>
      <c r="I36" s="8"/>
      <c r="J36" s="11"/>
      <c r="K36" s="8"/>
      <c r="L36" s="8"/>
      <c r="M36" s="8"/>
      <c r="N36" s="11"/>
      <c r="O36" s="8"/>
      <c r="P36" s="12"/>
      <c r="Q36" s="8"/>
      <c r="R36" s="8"/>
      <c r="S36" s="9" t="str">
        <f aca="false">IF(E36="","",IF(AND(OR(D36="Restaurante",D36="Ingresso"),OR(K36="",K36="A decidir")),"Reserva a decidir; ","")&amp;IF(AND(D36="Ingresso",K36="Não"),"Ingresso não comprado; ","")&amp;IF(AND(K36="Sim",L36=""),"Reserva sem código; ","")&amp;IF(I36="Sim","Fechado no dia; ","")&amp;IF(AND(B36&lt;&gt;"",G36&lt;&gt;"",B36&lt;G36),"Antes de abrir; ","")&amp;IF(AND(B36&lt;&gt;"",H36&lt;&gt;"",B36+C36/1440&gt;H36),"Depois de fechar; ",""))</f>
        <v/>
      </c>
    </row>
    <row r="37" customFormat="false" ht="15" hidden="false" customHeight="false" outlineLevel="0" collapsed="false">
      <c r="A37" s="7"/>
      <c r="B37" s="10"/>
      <c r="C37" s="11"/>
      <c r="D37" s="8"/>
      <c r="E37" s="8"/>
      <c r="F37" s="8"/>
      <c r="G37" s="10"/>
      <c r="H37" s="10"/>
      <c r="I37" s="8"/>
      <c r="J37" s="11"/>
      <c r="K37" s="8"/>
      <c r="L37" s="8"/>
      <c r="M37" s="8"/>
      <c r="N37" s="11"/>
      <c r="O37" s="8"/>
      <c r="P37" s="12"/>
      <c r="Q37" s="8"/>
      <c r="R37" s="8"/>
      <c r="S37" s="9" t="str">
        <f aca="false">IF(E37="","",IF(AND(OR(D37="Restaurante",D37="Ingresso"),OR(K37="",K37="A decidir")),"Reserva a decidir; ","")&amp;IF(AND(D37="Ingresso",K37="Não"),"Ingresso não comprado; ","")&amp;IF(AND(K37="Sim",L37=""),"Reserva sem código; ","")&amp;IF(I37="Sim","Fechado no dia; ","")&amp;IF(AND(B37&lt;&gt;"",G37&lt;&gt;"",B37&lt;G37),"Antes de abrir; ","")&amp;IF(AND(B37&lt;&gt;"",H37&lt;&gt;"",B37+C37/1440&gt;H37),"Depois de fechar; ",""))</f>
        <v/>
      </c>
    </row>
    <row r="38" customFormat="false" ht="15" hidden="false" customHeight="false" outlineLevel="0" collapsed="false">
      <c r="A38" s="7"/>
      <c r="B38" s="10"/>
      <c r="C38" s="11"/>
      <c r="D38" s="8"/>
      <c r="E38" s="8"/>
      <c r="F38" s="8"/>
      <c r="G38" s="10"/>
      <c r="H38" s="10"/>
      <c r="I38" s="8"/>
      <c r="J38" s="11"/>
      <c r="K38" s="8"/>
      <c r="L38" s="8"/>
      <c r="M38" s="8"/>
      <c r="N38" s="11"/>
      <c r="O38" s="8"/>
      <c r="P38" s="12"/>
      <c r="Q38" s="8"/>
      <c r="R38" s="8"/>
      <c r="S38" s="9" t="str">
        <f aca="false">IF(E38="","",IF(AND(OR(D38="Restaurante",D38="Ingresso"),OR(K38="",K38="A decidir")),"Reserva a decidir; ","")&amp;IF(AND(D38="Ingresso",K38="Não"),"Ingresso não comprado; ","")&amp;IF(AND(K38="Sim",L38=""),"Reserva sem código; ","")&amp;IF(I38="Sim","Fechado no dia; ","")&amp;IF(AND(B38&lt;&gt;"",G38&lt;&gt;"",B38&lt;G38),"Antes de abrir; ","")&amp;IF(AND(B38&lt;&gt;"",H38&lt;&gt;"",B38+C38/1440&gt;H38),"Depois de fechar; ",""))</f>
        <v/>
      </c>
    </row>
    <row r="39" customFormat="false" ht="15" hidden="false" customHeight="false" outlineLevel="0" collapsed="false">
      <c r="A39" s="7"/>
      <c r="B39" s="10"/>
      <c r="C39" s="11"/>
      <c r="D39" s="8"/>
      <c r="E39" s="8"/>
      <c r="F39" s="8"/>
      <c r="G39" s="10"/>
      <c r="H39" s="10"/>
      <c r="I39" s="8"/>
      <c r="J39" s="11"/>
      <c r="K39" s="8"/>
      <c r="L39" s="8"/>
      <c r="M39" s="8"/>
      <c r="N39" s="11"/>
      <c r="O39" s="8"/>
      <c r="P39" s="12"/>
      <c r="Q39" s="8"/>
      <c r="R39" s="8"/>
      <c r="S39" s="9" t="str">
        <f aca="false">IF(E39="","",IF(AND(OR(D39="Restaurante",D39="Ingresso"),OR(K39="",K39="A decidir")),"Reserva a decidir; ","")&amp;IF(AND(D39="Ingresso",K39="Não"),"Ingresso não comprado; ","")&amp;IF(AND(K39="Sim",L39=""),"Reserva sem código; ","")&amp;IF(I39="Sim","Fechado no dia; ","")&amp;IF(AND(B39&lt;&gt;"",G39&lt;&gt;"",B39&lt;G39),"Antes de abrir; ","")&amp;IF(AND(B39&lt;&gt;"",H39&lt;&gt;"",B39+C39/1440&gt;H39),"Depois de fechar; ",""))</f>
        <v/>
      </c>
    </row>
    <row r="40" customFormat="false" ht="15" hidden="false" customHeight="false" outlineLevel="0" collapsed="false">
      <c r="A40" s="7"/>
      <c r="B40" s="10"/>
      <c r="C40" s="11"/>
      <c r="D40" s="8"/>
      <c r="E40" s="8"/>
      <c r="F40" s="8"/>
      <c r="G40" s="10"/>
      <c r="H40" s="10"/>
      <c r="I40" s="8"/>
      <c r="J40" s="11"/>
      <c r="K40" s="8"/>
      <c r="L40" s="8"/>
      <c r="M40" s="8"/>
      <c r="N40" s="11"/>
      <c r="O40" s="8"/>
      <c r="P40" s="12"/>
      <c r="Q40" s="8"/>
      <c r="R40" s="8"/>
      <c r="S40" s="9" t="str">
        <f aca="false">IF(E40="","",IF(AND(OR(D40="Restaurante",D40="Ingresso"),OR(K40="",K40="A decidir")),"Reserva a decidir; ","")&amp;IF(AND(D40="Ingresso",K40="Não"),"Ingresso não comprado; ","")&amp;IF(AND(K40="Sim",L40=""),"Reserva sem código; ","")&amp;IF(I40="Sim","Fechado no dia; ","")&amp;IF(AND(B40&lt;&gt;"",G40&lt;&gt;"",B40&lt;G40),"Antes de abrir; ","")&amp;IF(AND(B40&lt;&gt;"",H40&lt;&gt;"",B40+C40/1440&gt;H40),"Depois de fechar; ",""))</f>
        <v/>
      </c>
    </row>
    <row r="41" customFormat="false" ht="15" hidden="false" customHeight="false" outlineLevel="0" collapsed="false">
      <c r="A41" s="7"/>
      <c r="B41" s="10"/>
      <c r="C41" s="11"/>
      <c r="D41" s="8"/>
      <c r="E41" s="8"/>
      <c r="F41" s="8"/>
      <c r="G41" s="10"/>
      <c r="H41" s="10"/>
      <c r="I41" s="8"/>
      <c r="J41" s="11"/>
      <c r="K41" s="8"/>
      <c r="L41" s="8"/>
      <c r="M41" s="8"/>
      <c r="N41" s="11"/>
      <c r="O41" s="8"/>
      <c r="P41" s="12"/>
      <c r="Q41" s="8"/>
      <c r="R41" s="8"/>
      <c r="S41" s="9" t="str">
        <f aca="false">IF(E41="","",IF(AND(OR(D41="Restaurante",D41="Ingresso"),OR(K41="",K41="A decidir")),"Reserva a decidir; ","")&amp;IF(AND(D41="Ingresso",K41="Não"),"Ingresso não comprado; ","")&amp;IF(AND(K41="Sim",L41=""),"Reserva sem código; ","")&amp;IF(I41="Sim","Fechado no dia; ","")&amp;IF(AND(B41&lt;&gt;"",G41&lt;&gt;"",B41&lt;G41),"Antes de abrir; ","")&amp;IF(AND(B41&lt;&gt;"",H41&lt;&gt;"",B41+C41/1440&gt;H41),"Depois de fechar; ",""))</f>
        <v/>
      </c>
    </row>
    <row r="42" customFormat="false" ht="15" hidden="false" customHeight="false" outlineLevel="0" collapsed="false">
      <c r="A42" s="7"/>
      <c r="B42" s="10"/>
      <c r="C42" s="11"/>
      <c r="D42" s="8"/>
      <c r="E42" s="8"/>
      <c r="F42" s="8"/>
      <c r="G42" s="10"/>
      <c r="H42" s="10"/>
      <c r="I42" s="8"/>
      <c r="J42" s="11"/>
      <c r="K42" s="8"/>
      <c r="L42" s="8"/>
      <c r="M42" s="8"/>
      <c r="N42" s="11"/>
      <c r="O42" s="8"/>
      <c r="P42" s="12"/>
      <c r="Q42" s="8"/>
      <c r="R42" s="8"/>
      <c r="S42" s="9" t="str">
        <f aca="false">IF(E42="","",IF(AND(OR(D42="Restaurante",D42="Ingresso"),OR(K42="",K42="A decidir")),"Reserva a decidir; ","")&amp;IF(AND(D42="Ingresso",K42="Não"),"Ingresso não comprado; ","")&amp;IF(AND(K42="Sim",L42=""),"Reserva sem código; ","")&amp;IF(I42="Sim","Fechado no dia; ","")&amp;IF(AND(B42&lt;&gt;"",G42&lt;&gt;"",B42&lt;G42),"Antes de abrir; ","")&amp;IF(AND(B42&lt;&gt;"",H42&lt;&gt;"",B42+C42/1440&gt;H42),"Depois de fechar; ",""))</f>
        <v/>
      </c>
    </row>
    <row r="43" customFormat="false" ht="15" hidden="false" customHeight="false" outlineLevel="0" collapsed="false">
      <c r="A43" s="7"/>
      <c r="B43" s="10"/>
      <c r="C43" s="11"/>
      <c r="D43" s="8"/>
      <c r="E43" s="8"/>
      <c r="F43" s="8"/>
      <c r="G43" s="10"/>
      <c r="H43" s="10"/>
      <c r="I43" s="8"/>
      <c r="J43" s="11"/>
      <c r="K43" s="8"/>
      <c r="L43" s="8"/>
      <c r="M43" s="8"/>
      <c r="N43" s="11"/>
      <c r="O43" s="8"/>
      <c r="P43" s="12"/>
      <c r="Q43" s="8"/>
      <c r="R43" s="8"/>
      <c r="S43" s="9" t="str">
        <f aca="false">IF(E43="","",IF(AND(OR(D43="Restaurante",D43="Ingresso"),OR(K43="",K43="A decidir")),"Reserva a decidir; ","")&amp;IF(AND(D43="Ingresso",K43="Não"),"Ingresso não comprado; ","")&amp;IF(AND(K43="Sim",L43=""),"Reserva sem código; ","")&amp;IF(I43="Sim","Fechado no dia; ","")&amp;IF(AND(B43&lt;&gt;"",G43&lt;&gt;"",B43&lt;G43),"Antes de abrir; ","")&amp;IF(AND(B43&lt;&gt;"",H43&lt;&gt;"",B43+C43/1440&gt;H43),"Depois de fechar; ",""))</f>
        <v/>
      </c>
    </row>
    <row r="44" customFormat="false" ht="15" hidden="false" customHeight="false" outlineLevel="0" collapsed="false">
      <c r="A44" s="7"/>
      <c r="B44" s="10"/>
      <c r="C44" s="11"/>
      <c r="D44" s="8"/>
      <c r="E44" s="8"/>
      <c r="F44" s="8"/>
      <c r="G44" s="10"/>
      <c r="H44" s="10"/>
      <c r="I44" s="8"/>
      <c r="J44" s="11"/>
      <c r="K44" s="8"/>
      <c r="L44" s="8"/>
      <c r="M44" s="8"/>
      <c r="N44" s="11"/>
      <c r="O44" s="8"/>
      <c r="P44" s="12"/>
      <c r="Q44" s="8"/>
      <c r="R44" s="8"/>
      <c r="S44" s="9" t="str">
        <f aca="false">IF(E44="","",IF(AND(OR(D44="Restaurante",D44="Ingresso"),OR(K44="",K44="A decidir")),"Reserva a decidir; ","")&amp;IF(AND(D44="Ingresso",K44="Não"),"Ingresso não comprado; ","")&amp;IF(AND(K44="Sim",L44=""),"Reserva sem código; ","")&amp;IF(I44="Sim","Fechado no dia; ","")&amp;IF(AND(B44&lt;&gt;"",G44&lt;&gt;"",B44&lt;G44),"Antes de abrir; ","")&amp;IF(AND(B44&lt;&gt;"",H44&lt;&gt;"",B44+C44/1440&gt;H44),"Depois de fechar; ",""))</f>
        <v/>
      </c>
    </row>
    <row r="45" customFormat="false" ht="15" hidden="false" customHeight="false" outlineLevel="0" collapsed="false">
      <c r="A45" s="7"/>
      <c r="B45" s="10"/>
      <c r="C45" s="11"/>
      <c r="D45" s="8"/>
      <c r="E45" s="8"/>
      <c r="F45" s="8"/>
      <c r="G45" s="10"/>
      <c r="H45" s="10"/>
      <c r="I45" s="8"/>
      <c r="J45" s="11"/>
      <c r="K45" s="8"/>
      <c r="L45" s="8"/>
      <c r="M45" s="8"/>
      <c r="N45" s="11"/>
      <c r="O45" s="8"/>
      <c r="P45" s="12"/>
      <c r="Q45" s="8"/>
      <c r="R45" s="8"/>
      <c r="S45" s="9" t="str">
        <f aca="false">IF(E45="","",IF(AND(OR(D45="Restaurante",D45="Ingresso"),OR(K45="",K45="A decidir")),"Reserva a decidir; ","")&amp;IF(AND(D45="Ingresso",K45="Não"),"Ingresso não comprado; ","")&amp;IF(AND(K45="Sim",L45=""),"Reserva sem código; ","")&amp;IF(I45="Sim","Fechado no dia; ","")&amp;IF(AND(B45&lt;&gt;"",G45&lt;&gt;"",B45&lt;G45),"Antes de abrir; ","")&amp;IF(AND(B45&lt;&gt;"",H45&lt;&gt;"",B45+C45/1440&gt;H45),"Depois de fechar; ",""))</f>
        <v/>
      </c>
    </row>
    <row r="46" customFormat="false" ht="15" hidden="false" customHeight="false" outlineLevel="0" collapsed="false">
      <c r="A46" s="7"/>
      <c r="B46" s="10"/>
      <c r="C46" s="11"/>
      <c r="D46" s="8"/>
      <c r="E46" s="8"/>
      <c r="F46" s="8"/>
      <c r="G46" s="10"/>
      <c r="H46" s="10"/>
      <c r="I46" s="8"/>
      <c r="J46" s="11"/>
      <c r="K46" s="8"/>
      <c r="L46" s="8"/>
      <c r="M46" s="8"/>
      <c r="N46" s="11"/>
      <c r="O46" s="8"/>
      <c r="P46" s="12"/>
      <c r="Q46" s="8"/>
      <c r="R46" s="8"/>
      <c r="S46" s="9" t="str">
        <f aca="false">IF(E46="","",IF(AND(OR(D46="Restaurante",D46="Ingresso"),OR(K46="",K46="A decidir")),"Reserva a decidir; ","")&amp;IF(AND(D46="Ingresso",K46="Não"),"Ingresso não comprado; ","")&amp;IF(AND(K46="Sim",L46=""),"Reserva sem código; ","")&amp;IF(I46="Sim","Fechado no dia; ","")&amp;IF(AND(B46&lt;&gt;"",G46&lt;&gt;"",B46&lt;G46),"Antes de abrir; ","")&amp;IF(AND(B46&lt;&gt;"",H46&lt;&gt;"",B46+C46/1440&gt;H46),"Depois de fechar; ",""))</f>
        <v/>
      </c>
    </row>
    <row r="47" customFormat="false" ht="15" hidden="false" customHeight="false" outlineLevel="0" collapsed="false">
      <c r="A47" s="7"/>
      <c r="B47" s="10"/>
      <c r="C47" s="11"/>
      <c r="D47" s="8"/>
      <c r="E47" s="8"/>
      <c r="F47" s="8"/>
      <c r="G47" s="10"/>
      <c r="H47" s="10"/>
      <c r="I47" s="8"/>
      <c r="J47" s="11"/>
      <c r="K47" s="8"/>
      <c r="L47" s="8"/>
      <c r="M47" s="8"/>
      <c r="N47" s="11"/>
      <c r="O47" s="8"/>
      <c r="P47" s="12"/>
      <c r="Q47" s="8"/>
      <c r="R47" s="8"/>
      <c r="S47" s="9" t="str">
        <f aca="false">IF(E47="","",IF(AND(OR(D47="Restaurante",D47="Ingresso"),OR(K47="",K47="A decidir")),"Reserva a decidir; ","")&amp;IF(AND(D47="Ingresso",K47="Não"),"Ingresso não comprado; ","")&amp;IF(AND(K47="Sim",L47=""),"Reserva sem código; ","")&amp;IF(I47="Sim","Fechado no dia; ","")&amp;IF(AND(B47&lt;&gt;"",G47&lt;&gt;"",B47&lt;G47),"Antes de abrir; ","")&amp;IF(AND(B47&lt;&gt;"",H47&lt;&gt;"",B47+C47/1440&gt;H47),"Depois de fechar; ",""))</f>
        <v/>
      </c>
    </row>
    <row r="48" customFormat="false" ht="15" hidden="false" customHeight="false" outlineLevel="0" collapsed="false">
      <c r="A48" s="7"/>
      <c r="B48" s="10"/>
      <c r="C48" s="11"/>
      <c r="D48" s="8"/>
      <c r="E48" s="8"/>
      <c r="F48" s="8"/>
      <c r="G48" s="10"/>
      <c r="H48" s="10"/>
      <c r="I48" s="8"/>
      <c r="J48" s="11"/>
      <c r="K48" s="8"/>
      <c r="L48" s="8"/>
      <c r="M48" s="8"/>
      <c r="N48" s="11"/>
      <c r="O48" s="8"/>
      <c r="P48" s="12"/>
      <c r="Q48" s="8"/>
      <c r="R48" s="8"/>
      <c r="S48" s="9" t="str">
        <f aca="false">IF(E48="","",IF(AND(OR(D48="Restaurante",D48="Ingresso"),OR(K48="",K48="A decidir")),"Reserva a decidir; ","")&amp;IF(AND(D48="Ingresso",K48="Não"),"Ingresso não comprado; ","")&amp;IF(AND(K48="Sim",L48=""),"Reserva sem código; ","")&amp;IF(I48="Sim","Fechado no dia; ","")&amp;IF(AND(B48&lt;&gt;"",G48&lt;&gt;"",B48&lt;G48),"Antes de abrir; ","")&amp;IF(AND(B48&lt;&gt;"",H48&lt;&gt;"",B48+C48/1440&gt;H48),"Depois de fechar; ",""))</f>
        <v/>
      </c>
    </row>
    <row r="49" customFormat="false" ht="15" hidden="false" customHeight="false" outlineLevel="0" collapsed="false">
      <c r="A49" s="7"/>
      <c r="B49" s="10"/>
      <c r="C49" s="11"/>
      <c r="D49" s="8"/>
      <c r="E49" s="8"/>
      <c r="F49" s="8"/>
      <c r="G49" s="10"/>
      <c r="H49" s="10"/>
      <c r="I49" s="8"/>
      <c r="J49" s="11"/>
      <c r="K49" s="8"/>
      <c r="L49" s="8"/>
      <c r="M49" s="8"/>
      <c r="N49" s="11"/>
      <c r="O49" s="8"/>
      <c r="P49" s="12"/>
      <c r="Q49" s="8"/>
      <c r="R49" s="8"/>
      <c r="S49" s="9" t="str">
        <f aca="false">IF(E49="","",IF(AND(OR(D49="Restaurante",D49="Ingresso"),OR(K49="",K49="A decidir")),"Reserva a decidir; ","")&amp;IF(AND(D49="Ingresso",K49="Não"),"Ingresso não comprado; ","")&amp;IF(AND(K49="Sim",L49=""),"Reserva sem código; ","")&amp;IF(I49="Sim","Fechado no dia; ","")&amp;IF(AND(B49&lt;&gt;"",G49&lt;&gt;"",B49&lt;G49),"Antes de abrir; ","")&amp;IF(AND(B49&lt;&gt;"",H49&lt;&gt;"",B49+C49/1440&gt;H49),"Depois de fechar; ",""))</f>
        <v/>
      </c>
    </row>
    <row r="50" customFormat="false" ht="15" hidden="false" customHeight="false" outlineLevel="0" collapsed="false">
      <c r="A50" s="7"/>
      <c r="B50" s="10"/>
      <c r="C50" s="11"/>
      <c r="D50" s="8"/>
      <c r="E50" s="8"/>
      <c r="F50" s="8"/>
      <c r="G50" s="10"/>
      <c r="H50" s="10"/>
      <c r="I50" s="8"/>
      <c r="J50" s="11"/>
      <c r="K50" s="8"/>
      <c r="L50" s="8"/>
      <c r="M50" s="8"/>
      <c r="N50" s="11"/>
      <c r="O50" s="8"/>
      <c r="P50" s="12"/>
      <c r="Q50" s="8"/>
      <c r="R50" s="8"/>
      <c r="S50" s="9" t="str">
        <f aca="false">IF(E50="","",IF(AND(OR(D50="Restaurante",D50="Ingresso"),OR(K50="",K50="A decidir")),"Reserva a decidir; ","")&amp;IF(AND(D50="Ingresso",K50="Não"),"Ingresso não comprado; ","")&amp;IF(AND(K50="Sim",L50=""),"Reserva sem código; ","")&amp;IF(I50="Sim","Fechado no dia; ","")&amp;IF(AND(B50&lt;&gt;"",G50&lt;&gt;"",B50&lt;G50),"Antes de abrir; ","")&amp;IF(AND(B50&lt;&gt;"",H50&lt;&gt;"",B50+C50/1440&gt;H50),"Depois de fechar; ",""))</f>
        <v/>
      </c>
    </row>
    <row r="51" customFormat="false" ht="15" hidden="false" customHeight="false" outlineLevel="0" collapsed="false">
      <c r="A51" s="7"/>
      <c r="B51" s="10"/>
      <c r="C51" s="11"/>
      <c r="D51" s="8"/>
      <c r="E51" s="8"/>
      <c r="F51" s="8"/>
      <c r="G51" s="10"/>
      <c r="H51" s="10"/>
      <c r="I51" s="8"/>
      <c r="J51" s="11"/>
      <c r="K51" s="8"/>
      <c r="L51" s="8"/>
      <c r="M51" s="8"/>
      <c r="N51" s="11"/>
      <c r="O51" s="8"/>
      <c r="P51" s="12"/>
      <c r="Q51" s="8"/>
      <c r="R51" s="8"/>
      <c r="S51" s="9" t="str">
        <f aca="false">IF(E51="","",IF(AND(OR(D51="Restaurante",D51="Ingresso"),OR(K51="",K51="A decidir")),"Reserva a decidir; ","")&amp;IF(AND(D51="Ingresso",K51="Não"),"Ingresso não comprado; ","")&amp;IF(AND(K51="Sim",L51=""),"Reserva sem código; ","")&amp;IF(I51="Sim","Fechado no dia; ","")&amp;IF(AND(B51&lt;&gt;"",G51&lt;&gt;"",B51&lt;G51),"Antes de abrir; ","")&amp;IF(AND(B51&lt;&gt;"",H51&lt;&gt;"",B51+C51/1440&gt;H51),"Depois de fechar; ",""))</f>
        <v/>
      </c>
    </row>
    <row r="52" customFormat="false" ht="15" hidden="false" customHeight="false" outlineLevel="0" collapsed="false">
      <c r="A52" s="7"/>
      <c r="B52" s="10"/>
      <c r="C52" s="11"/>
      <c r="D52" s="8"/>
      <c r="E52" s="8"/>
      <c r="F52" s="8"/>
      <c r="G52" s="10"/>
      <c r="H52" s="10"/>
      <c r="I52" s="8"/>
      <c r="J52" s="11"/>
      <c r="K52" s="8"/>
      <c r="L52" s="8"/>
      <c r="M52" s="8"/>
      <c r="N52" s="11"/>
      <c r="O52" s="8"/>
      <c r="P52" s="12"/>
      <c r="Q52" s="8"/>
      <c r="R52" s="8"/>
      <c r="S52" s="9" t="str">
        <f aca="false">IF(E52="","",IF(AND(OR(D52="Restaurante",D52="Ingresso"),OR(K52="",K52="A decidir")),"Reserva a decidir; ","")&amp;IF(AND(D52="Ingresso",K52="Não"),"Ingresso não comprado; ","")&amp;IF(AND(K52="Sim",L52=""),"Reserva sem código; ","")&amp;IF(I52="Sim","Fechado no dia; ","")&amp;IF(AND(B52&lt;&gt;"",G52&lt;&gt;"",B52&lt;G52),"Antes de abrir; ","")&amp;IF(AND(B52&lt;&gt;"",H52&lt;&gt;"",B52+C52/1440&gt;H52),"Depois de fechar; ",""))</f>
        <v/>
      </c>
    </row>
    <row r="53" customFormat="false" ht="15" hidden="false" customHeight="false" outlineLevel="0" collapsed="false">
      <c r="A53" s="7"/>
      <c r="B53" s="10"/>
      <c r="C53" s="11"/>
      <c r="D53" s="8"/>
      <c r="E53" s="8"/>
      <c r="F53" s="8"/>
      <c r="G53" s="10"/>
      <c r="H53" s="10"/>
      <c r="I53" s="8"/>
      <c r="J53" s="11"/>
      <c r="K53" s="8"/>
      <c r="L53" s="8"/>
      <c r="M53" s="8"/>
      <c r="N53" s="11"/>
      <c r="O53" s="8"/>
      <c r="P53" s="12"/>
      <c r="Q53" s="8"/>
      <c r="R53" s="8"/>
      <c r="S53" s="9" t="str">
        <f aca="false">IF(E53="","",IF(AND(OR(D53="Restaurante",D53="Ingresso"),OR(K53="",K53="A decidir")),"Reserva a decidir; ","")&amp;IF(AND(D53="Ingresso",K53="Não"),"Ingresso não comprado; ","")&amp;IF(AND(K53="Sim",L53=""),"Reserva sem código; ","")&amp;IF(I53="Sim","Fechado no dia; ","")&amp;IF(AND(B53&lt;&gt;"",G53&lt;&gt;"",B53&lt;G53),"Antes de abrir; ","")&amp;IF(AND(B53&lt;&gt;"",H53&lt;&gt;"",B53+C53/1440&gt;H53),"Depois de fechar; ",""))</f>
        <v/>
      </c>
    </row>
    <row r="54" customFormat="false" ht="15" hidden="false" customHeight="false" outlineLevel="0" collapsed="false">
      <c r="A54" s="7"/>
      <c r="B54" s="10"/>
      <c r="C54" s="11"/>
      <c r="D54" s="8"/>
      <c r="E54" s="8"/>
      <c r="F54" s="8"/>
      <c r="G54" s="10"/>
      <c r="H54" s="10"/>
      <c r="I54" s="8"/>
      <c r="J54" s="11"/>
      <c r="K54" s="8"/>
      <c r="L54" s="8"/>
      <c r="M54" s="8"/>
      <c r="N54" s="11"/>
      <c r="O54" s="8"/>
      <c r="P54" s="12"/>
      <c r="Q54" s="8"/>
      <c r="R54" s="8"/>
      <c r="S54" s="9" t="str">
        <f aca="false">IF(E54="","",IF(AND(OR(D54="Restaurante",D54="Ingresso"),OR(K54="",K54="A decidir")),"Reserva a decidir; ","")&amp;IF(AND(D54="Ingresso",K54="Não"),"Ingresso não comprado; ","")&amp;IF(AND(K54="Sim",L54=""),"Reserva sem código; ","")&amp;IF(I54="Sim","Fechado no dia; ","")&amp;IF(AND(B54&lt;&gt;"",G54&lt;&gt;"",B54&lt;G54),"Antes de abrir; ","")&amp;IF(AND(B54&lt;&gt;"",H54&lt;&gt;"",B54+C54/1440&gt;H54),"Depois de fechar; ",""))</f>
        <v/>
      </c>
    </row>
    <row r="55" customFormat="false" ht="15" hidden="false" customHeight="false" outlineLevel="0" collapsed="false">
      <c r="A55" s="7"/>
      <c r="B55" s="10"/>
      <c r="C55" s="11"/>
      <c r="D55" s="8"/>
      <c r="E55" s="8"/>
      <c r="F55" s="8"/>
      <c r="G55" s="10"/>
      <c r="H55" s="10"/>
      <c r="I55" s="8"/>
      <c r="J55" s="11"/>
      <c r="K55" s="8"/>
      <c r="L55" s="8"/>
      <c r="M55" s="8"/>
      <c r="N55" s="11"/>
      <c r="O55" s="8"/>
      <c r="P55" s="12"/>
      <c r="Q55" s="8"/>
      <c r="R55" s="8"/>
      <c r="S55" s="9" t="str">
        <f aca="false">IF(E55="","",IF(AND(OR(D55="Restaurante",D55="Ingresso"),OR(K55="",K55="A decidir")),"Reserva a decidir; ","")&amp;IF(AND(D55="Ingresso",K55="Não"),"Ingresso não comprado; ","")&amp;IF(AND(K55="Sim",L55=""),"Reserva sem código; ","")&amp;IF(I55="Sim","Fechado no dia; ","")&amp;IF(AND(B55&lt;&gt;"",G55&lt;&gt;"",B55&lt;G55),"Antes de abrir; ","")&amp;IF(AND(B55&lt;&gt;"",H55&lt;&gt;"",B55+C55/1440&gt;H55),"Depois de fechar; ",""))</f>
        <v/>
      </c>
    </row>
    <row r="56" customFormat="false" ht="15" hidden="false" customHeight="false" outlineLevel="0" collapsed="false">
      <c r="A56" s="7"/>
      <c r="B56" s="10"/>
      <c r="C56" s="11"/>
      <c r="D56" s="8"/>
      <c r="E56" s="8"/>
      <c r="F56" s="8"/>
      <c r="G56" s="10"/>
      <c r="H56" s="10"/>
      <c r="I56" s="8"/>
      <c r="J56" s="11"/>
      <c r="K56" s="8"/>
      <c r="L56" s="8"/>
      <c r="M56" s="8"/>
      <c r="N56" s="11"/>
      <c r="O56" s="8"/>
      <c r="P56" s="12"/>
      <c r="Q56" s="8"/>
      <c r="R56" s="8"/>
      <c r="S56" s="9" t="str">
        <f aca="false">IF(E56="","",IF(AND(OR(D56="Restaurante",D56="Ingresso"),OR(K56="",K56="A decidir")),"Reserva a decidir; ","")&amp;IF(AND(D56="Ingresso",K56="Não"),"Ingresso não comprado; ","")&amp;IF(AND(K56="Sim",L56=""),"Reserva sem código; ","")&amp;IF(I56="Sim","Fechado no dia; ","")&amp;IF(AND(B56&lt;&gt;"",G56&lt;&gt;"",B56&lt;G56),"Antes de abrir; ","")&amp;IF(AND(B56&lt;&gt;"",H56&lt;&gt;"",B56+C56/1440&gt;H56),"Depois de fechar; ",""))</f>
        <v/>
      </c>
    </row>
    <row r="57" customFormat="false" ht="15" hidden="false" customHeight="false" outlineLevel="0" collapsed="false">
      <c r="A57" s="7"/>
      <c r="B57" s="10"/>
      <c r="C57" s="11"/>
      <c r="D57" s="8"/>
      <c r="E57" s="8"/>
      <c r="F57" s="8"/>
      <c r="G57" s="10"/>
      <c r="H57" s="10"/>
      <c r="I57" s="8"/>
      <c r="J57" s="11"/>
      <c r="K57" s="8"/>
      <c r="L57" s="8"/>
      <c r="M57" s="8"/>
      <c r="N57" s="11"/>
      <c r="O57" s="8"/>
      <c r="P57" s="12"/>
      <c r="Q57" s="8"/>
      <c r="R57" s="8"/>
      <c r="S57" s="9" t="str">
        <f aca="false">IF(E57="","",IF(AND(OR(D57="Restaurante",D57="Ingresso"),OR(K57="",K57="A decidir")),"Reserva a decidir; ","")&amp;IF(AND(D57="Ingresso",K57="Não"),"Ingresso não comprado; ","")&amp;IF(AND(K57="Sim",L57=""),"Reserva sem código; ","")&amp;IF(I57="Sim","Fechado no dia; ","")&amp;IF(AND(B57&lt;&gt;"",G57&lt;&gt;"",B57&lt;G57),"Antes de abrir; ","")&amp;IF(AND(B57&lt;&gt;"",H57&lt;&gt;"",B57+C57/1440&gt;H57),"Depois de fechar; ",""))</f>
        <v/>
      </c>
    </row>
    <row r="58" customFormat="false" ht="15" hidden="false" customHeight="false" outlineLevel="0" collapsed="false">
      <c r="A58" s="7"/>
      <c r="B58" s="10"/>
      <c r="C58" s="11"/>
      <c r="D58" s="8"/>
      <c r="E58" s="8"/>
      <c r="F58" s="8"/>
      <c r="G58" s="10"/>
      <c r="H58" s="10"/>
      <c r="I58" s="8"/>
      <c r="J58" s="11"/>
      <c r="K58" s="8"/>
      <c r="L58" s="8"/>
      <c r="M58" s="8"/>
      <c r="N58" s="11"/>
      <c r="O58" s="8"/>
      <c r="P58" s="12"/>
      <c r="Q58" s="8"/>
      <c r="R58" s="8"/>
      <c r="S58" s="9" t="str">
        <f aca="false">IF(E58="","",IF(AND(OR(D58="Restaurante",D58="Ingresso"),OR(K58="",K58="A decidir")),"Reserva a decidir; ","")&amp;IF(AND(D58="Ingresso",K58="Não"),"Ingresso não comprado; ","")&amp;IF(AND(K58="Sim",L58=""),"Reserva sem código; ","")&amp;IF(I58="Sim","Fechado no dia; ","")&amp;IF(AND(B58&lt;&gt;"",G58&lt;&gt;"",B58&lt;G58),"Antes de abrir; ","")&amp;IF(AND(B58&lt;&gt;"",H58&lt;&gt;"",B58+C58/1440&gt;H58),"Depois de fechar; ",""))</f>
        <v/>
      </c>
    </row>
    <row r="59" customFormat="false" ht="15" hidden="false" customHeight="false" outlineLevel="0" collapsed="false">
      <c r="A59" s="7"/>
      <c r="B59" s="10"/>
      <c r="C59" s="11"/>
      <c r="D59" s="8"/>
      <c r="E59" s="8"/>
      <c r="F59" s="8"/>
      <c r="G59" s="10"/>
      <c r="H59" s="10"/>
      <c r="I59" s="8"/>
      <c r="J59" s="11"/>
      <c r="K59" s="8"/>
      <c r="L59" s="8"/>
      <c r="M59" s="8"/>
      <c r="N59" s="11"/>
      <c r="O59" s="8"/>
      <c r="P59" s="12"/>
      <c r="Q59" s="8"/>
      <c r="R59" s="8"/>
      <c r="S59" s="9" t="str">
        <f aca="false">IF(E59="","",IF(AND(OR(D59="Restaurante",D59="Ingresso"),OR(K59="",K59="A decidir")),"Reserva a decidir; ","")&amp;IF(AND(D59="Ingresso",K59="Não"),"Ingresso não comprado; ","")&amp;IF(AND(K59="Sim",L59=""),"Reserva sem código; ","")&amp;IF(I59="Sim","Fechado no dia; ","")&amp;IF(AND(B59&lt;&gt;"",G59&lt;&gt;"",B59&lt;G59),"Antes de abrir; ","")&amp;IF(AND(B59&lt;&gt;"",H59&lt;&gt;"",B59+C59/1440&gt;H59),"Depois de fechar; ",""))</f>
        <v/>
      </c>
    </row>
    <row r="60" customFormat="false" ht="15" hidden="false" customHeight="false" outlineLevel="0" collapsed="false">
      <c r="A60" s="7"/>
      <c r="B60" s="10"/>
      <c r="C60" s="11"/>
      <c r="D60" s="8"/>
      <c r="E60" s="8"/>
      <c r="F60" s="8"/>
      <c r="G60" s="10"/>
      <c r="H60" s="10"/>
      <c r="I60" s="8"/>
      <c r="J60" s="11"/>
      <c r="K60" s="8"/>
      <c r="L60" s="8"/>
      <c r="M60" s="8"/>
      <c r="N60" s="11"/>
      <c r="O60" s="8"/>
      <c r="P60" s="12"/>
      <c r="Q60" s="8"/>
      <c r="R60" s="8"/>
      <c r="S60" s="9" t="str">
        <f aca="false">IF(E60="","",IF(AND(OR(D60="Restaurante",D60="Ingresso"),OR(K60="",K60="A decidir")),"Reserva a decidir; ","")&amp;IF(AND(D60="Ingresso",K60="Não"),"Ingresso não comprado; ","")&amp;IF(AND(K60="Sim",L60=""),"Reserva sem código; ","")&amp;IF(I60="Sim","Fechado no dia; ","")&amp;IF(AND(B60&lt;&gt;"",G60&lt;&gt;"",B60&lt;G60),"Antes de abrir; ","")&amp;IF(AND(B60&lt;&gt;"",H60&lt;&gt;"",B60+C60/1440&gt;H60),"Depois de fechar; ",""))</f>
        <v/>
      </c>
    </row>
    <row r="61" customFormat="false" ht="15" hidden="false" customHeight="false" outlineLevel="0" collapsed="false">
      <c r="A61" s="7"/>
      <c r="B61" s="10"/>
      <c r="C61" s="11"/>
      <c r="D61" s="8"/>
      <c r="E61" s="8"/>
      <c r="F61" s="8"/>
      <c r="G61" s="10"/>
      <c r="H61" s="10"/>
      <c r="I61" s="8"/>
      <c r="J61" s="11"/>
      <c r="K61" s="8"/>
      <c r="L61" s="8"/>
      <c r="M61" s="8"/>
      <c r="N61" s="11"/>
      <c r="O61" s="8"/>
      <c r="P61" s="12"/>
      <c r="Q61" s="8"/>
      <c r="R61" s="8"/>
      <c r="S61" s="9" t="str">
        <f aca="false">IF(E61="","",IF(AND(OR(D61="Restaurante",D61="Ingresso"),OR(K61="",K61="A decidir")),"Reserva a decidir; ","")&amp;IF(AND(D61="Ingresso",K61="Não"),"Ingresso não comprado; ","")&amp;IF(AND(K61="Sim",L61=""),"Reserva sem código; ","")&amp;IF(I61="Sim","Fechado no dia; ","")&amp;IF(AND(B61&lt;&gt;"",G61&lt;&gt;"",B61&lt;G61),"Antes de abrir; ","")&amp;IF(AND(B61&lt;&gt;"",H61&lt;&gt;"",B61+C61/1440&gt;H61),"Depois de fechar; ",""))</f>
        <v/>
      </c>
    </row>
    <row r="62" customFormat="false" ht="15" hidden="false" customHeight="false" outlineLevel="0" collapsed="false">
      <c r="A62" s="7"/>
      <c r="B62" s="10"/>
      <c r="C62" s="11"/>
      <c r="D62" s="8"/>
      <c r="E62" s="8"/>
      <c r="F62" s="8"/>
      <c r="G62" s="10"/>
      <c r="H62" s="10"/>
      <c r="I62" s="8"/>
      <c r="J62" s="11"/>
      <c r="K62" s="8"/>
      <c r="L62" s="8"/>
      <c r="M62" s="8"/>
      <c r="N62" s="11"/>
      <c r="O62" s="8"/>
      <c r="P62" s="12"/>
      <c r="Q62" s="8"/>
      <c r="R62" s="8"/>
      <c r="S62" s="9" t="str">
        <f aca="false">IF(E62="","",IF(AND(OR(D62="Restaurante",D62="Ingresso"),OR(K62="",K62="A decidir")),"Reserva a decidir; ","")&amp;IF(AND(D62="Ingresso",K62="Não"),"Ingresso não comprado; ","")&amp;IF(AND(K62="Sim",L62=""),"Reserva sem código; ","")&amp;IF(I62="Sim","Fechado no dia; ","")&amp;IF(AND(B62&lt;&gt;"",G62&lt;&gt;"",B62&lt;G62),"Antes de abrir; ","")&amp;IF(AND(B62&lt;&gt;"",H62&lt;&gt;"",B62+C62/1440&gt;H62),"Depois de fechar; ",""))</f>
        <v/>
      </c>
    </row>
    <row r="63" customFormat="false" ht="15" hidden="false" customHeight="false" outlineLevel="0" collapsed="false">
      <c r="A63" s="7"/>
      <c r="B63" s="10"/>
      <c r="C63" s="11"/>
      <c r="D63" s="8"/>
      <c r="E63" s="8"/>
      <c r="F63" s="8"/>
      <c r="G63" s="10"/>
      <c r="H63" s="10"/>
      <c r="I63" s="8"/>
      <c r="J63" s="11"/>
      <c r="K63" s="8"/>
      <c r="L63" s="8"/>
      <c r="M63" s="8"/>
      <c r="N63" s="11"/>
      <c r="O63" s="8"/>
      <c r="P63" s="12"/>
      <c r="Q63" s="8"/>
      <c r="R63" s="8"/>
      <c r="S63" s="9" t="str">
        <f aca="false">IF(E63="","",IF(AND(OR(D63="Restaurante",D63="Ingresso"),OR(K63="",K63="A decidir")),"Reserva a decidir; ","")&amp;IF(AND(D63="Ingresso",K63="Não"),"Ingresso não comprado; ","")&amp;IF(AND(K63="Sim",L63=""),"Reserva sem código; ","")&amp;IF(I63="Sim","Fechado no dia; ","")&amp;IF(AND(B63&lt;&gt;"",G63&lt;&gt;"",B63&lt;G63),"Antes de abrir; ","")&amp;IF(AND(B63&lt;&gt;"",H63&lt;&gt;"",B63+C63/1440&gt;H63),"Depois de fechar; ",""))</f>
        <v/>
      </c>
    </row>
    <row r="64" customFormat="false" ht="15" hidden="false" customHeight="false" outlineLevel="0" collapsed="false">
      <c r="A64" s="7"/>
      <c r="B64" s="10"/>
      <c r="C64" s="11"/>
      <c r="D64" s="8"/>
      <c r="E64" s="8"/>
      <c r="F64" s="8"/>
      <c r="G64" s="10"/>
      <c r="H64" s="10"/>
      <c r="I64" s="8"/>
      <c r="J64" s="11"/>
      <c r="K64" s="8"/>
      <c r="L64" s="8"/>
      <c r="M64" s="8"/>
      <c r="N64" s="11"/>
      <c r="O64" s="8"/>
      <c r="P64" s="12"/>
      <c r="Q64" s="8"/>
      <c r="R64" s="8"/>
      <c r="S64" s="9" t="str">
        <f aca="false">IF(E64="","",IF(AND(OR(D64="Restaurante",D64="Ingresso"),OR(K64="",K64="A decidir")),"Reserva a decidir; ","")&amp;IF(AND(D64="Ingresso",K64="Não"),"Ingresso não comprado; ","")&amp;IF(AND(K64="Sim",L64=""),"Reserva sem código; ","")&amp;IF(I64="Sim","Fechado no dia; ","")&amp;IF(AND(B64&lt;&gt;"",G64&lt;&gt;"",B64&lt;G64),"Antes de abrir; ","")&amp;IF(AND(B64&lt;&gt;"",H64&lt;&gt;"",B64+C64/1440&gt;H64),"Depois de fechar; ",""))</f>
        <v/>
      </c>
    </row>
    <row r="65" customFormat="false" ht="15" hidden="false" customHeight="false" outlineLevel="0" collapsed="false">
      <c r="A65" s="7"/>
      <c r="B65" s="10"/>
      <c r="C65" s="11"/>
      <c r="D65" s="8"/>
      <c r="E65" s="8"/>
      <c r="F65" s="8"/>
      <c r="G65" s="10"/>
      <c r="H65" s="10"/>
      <c r="I65" s="8"/>
      <c r="J65" s="11"/>
      <c r="K65" s="8"/>
      <c r="L65" s="8"/>
      <c r="M65" s="8"/>
      <c r="N65" s="11"/>
      <c r="O65" s="8"/>
      <c r="P65" s="12"/>
      <c r="Q65" s="8"/>
      <c r="R65" s="8"/>
      <c r="S65" s="9" t="str">
        <f aca="false">IF(E65="","",IF(AND(OR(D65="Restaurante",D65="Ingresso"),OR(K65="",K65="A decidir")),"Reserva a decidir; ","")&amp;IF(AND(D65="Ingresso",K65="Não"),"Ingresso não comprado; ","")&amp;IF(AND(K65="Sim",L65=""),"Reserva sem código; ","")&amp;IF(I65="Sim","Fechado no dia; ","")&amp;IF(AND(B65&lt;&gt;"",G65&lt;&gt;"",B65&lt;G65),"Antes de abrir; ","")&amp;IF(AND(B65&lt;&gt;"",H65&lt;&gt;"",B65+C65/1440&gt;H65),"Depois de fechar; ",""))</f>
        <v/>
      </c>
    </row>
    <row r="66" customFormat="false" ht="15" hidden="false" customHeight="false" outlineLevel="0" collapsed="false">
      <c r="A66" s="7"/>
      <c r="B66" s="10"/>
      <c r="C66" s="11"/>
      <c r="D66" s="8"/>
      <c r="E66" s="8"/>
      <c r="F66" s="8"/>
      <c r="G66" s="10"/>
      <c r="H66" s="10"/>
      <c r="I66" s="8"/>
      <c r="J66" s="11"/>
      <c r="K66" s="8"/>
      <c r="L66" s="8"/>
      <c r="M66" s="8"/>
      <c r="N66" s="11"/>
      <c r="O66" s="8"/>
      <c r="P66" s="12"/>
      <c r="Q66" s="8"/>
      <c r="R66" s="8"/>
      <c r="S66" s="9" t="str">
        <f aca="false">IF(E66="","",IF(AND(OR(D66="Restaurante",D66="Ingresso"),OR(K66="",K66="A decidir")),"Reserva a decidir; ","")&amp;IF(AND(D66="Ingresso",K66="Não"),"Ingresso não comprado; ","")&amp;IF(AND(K66="Sim",L66=""),"Reserva sem código; ","")&amp;IF(I66="Sim","Fechado no dia; ","")&amp;IF(AND(B66&lt;&gt;"",G66&lt;&gt;"",B66&lt;G66),"Antes de abrir; ","")&amp;IF(AND(B66&lt;&gt;"",H66&lt;&gt;"",B66+C66/1440&gt;H66),"Depois de fechar; ",""))</f>
        <v/>
      </c>
    </row>
    <row r="67" customFormat="false" ht="15" hidden="false" customHeight="false" outlineLevel="0" collapsed="false">
      <c r="A67" s="7"/>
      <c r="B67" s="10"/>
      <c r="C67" s="11"/>
      <c r="D67" s="8"/>
      <c r="E67" s="8"/>
      <c r="F67" s="8"/>
      <c r="G67" s="10"/>
      <c r="H67" s="10"/>
      <c r="I67" s="8"/>
      <c r="J67" s="11"/>
      <c r="K67" s="8"/>
      <c r="L67" s="8"/>
      <c r="M67" s="8"/>
      <c r="N67" s="11"/>
      <c r="O67" s="8"/>
      <c r="P67" s="12"/>
      <c r="Q67" s="8"/>
      <c r="R67" s="8"/>
      <c r="S67" s="9" t="str">
        <f aca="false">IF(E67="","",IF(AND(OR(D67="Restaurante",D67="Ingresso"),OR(K67="",K67="A decidir")),"Reserva a decidir; ","")&amp;IF(AND(D67="Ingresso",K67="Não"),"Ingresso não comprado; ","")&amp;IF(AND(K67="Sim",L67=""),"Reserva sem código; ","")&amp;IF(I67="Sim","Fechado no dia; ","")&amp;IF(AND(B67&lt;&gt;"",G67&lt;&gt;"",B67&lt;G67),"Antes de abrir; ","")&amp;IF(AND(B67&lt;&gt;"",H67&lt;&gt;"",B67+C67/1440&gt;H67),"Depois de fechar; ",""))</f>
        <v/>
      </c>
    </row>
    <row r="68" customFormat="false" ht="15" hidden="false" customHeight="false" outlineLevel="0" collapsed="false">
      <c r="A68" s="7"/>
      <c r="B68" s="10"/>
      <c r="C68" s="11"/>
      <c r="D68" s="8"/>
      <c r="E68" s="8"/>
      <c r="F68" s="8"/>
      <c r="G68" s="10"/>
      <c r="H68" s="10"/>
      <c r="I68" s="8"/>
      <c r="J68" s="11"/>
      <c r="K68" s="8"/>
      <c r="L68" s="8"/>
      <c r="M68" s="8"/>
      <c r="N68" s="11"/>
      <c r="O68" s="8"/>
      <c r="P68" s="12"/>
      <c r="Q68" s="8"/>
      <c r="R68" s="8"/>
      <c r="S68" s="9" t="str">
        <f aca="false">IF(E68="","",IF(AND(OR(D68="Restaurante",D68="Ingresso"),OR(K68="",K68="A decidir")),"Reserva a decidir; ","")&amp;IF(AND(D68="Ingresso",K68="Não"),"Ingresso não comprado; ","")&amp;IF(AND(K68="Sim",L68=""),"Reserva sem código; ","")&amp;IF(I68="Sim","Fechado no dia; ","")&amp;IF(AND(B68&lt;&gt;"",G68&lt;&gt;"",B68&lt;G68),"Antes de abrir; ","")&amp;IF(AND(B68&lt;&gt;"",H68&lt;&gt;"",B68+C68/1440&gt;H68),"Depois de fechar; ",""))</f>
        <v/>
      </c>
    </row>
    <row r="69" customFormat="false" ht="15" hidden="false" customHeight="false" outlineLevel="0" collapsed="false">
      <c r="A69" s="7"/>
      <c r="B69" s="10"/>
      <c r="C69" s="11"/>
      <c r="D69" s="8"/>
      <c r="E69" s="8"/>
      <c r="F69" s="8"/>
      <c r="G69" s="10"/>
      <c r="H69" s="10"/>
      <c r="I69" s="8"/>
      <c r="J69" s="11"/>
      <c r="K69" s="8"/>
      <c r="L69" s="8"/>
      <c r="M69" s="8"/>
      <c r="N69" s="11"/>
      <c r="O69" s="8"/>
      <c r="P69" s="12"/>
      <c r="Q69" s="8"/>
      <c r="R69" s="8"/>
      <c r="S69" s="9" t="str">
        <f aca="false">IF(E69="","",IF(AND(OR(D69="Restaurante",D69="Ingresso"),OR(K69="",K69="A decidir")),"Reserva a decidir; ","")&amp;IF(AND(D69="Ingresso",K69="Não"),"Ingresso não comprado; ","")&amp;IF(AND(K69="Sim",L69=""),"Reserva sem código; ","")&amp;IF(I69="Sim","Fechado no dia; ","")&amp;IF(AND(B69&lt;&gt;"",G69&lt;&gt;"",B69&lt;G69),"Antes de abrir; ","")&amp;IF(AND(B69&lt;&gt;"",H69&lt;&gt;"",B69+C69/1440&gt;H69),"Depois de fechar; ",""))</f>
        <v/>
      </c>
    </row>
    <row r="70" customFormat="false" ht="15" hidden="false" customHeight="false" outlineLevel="0" collapsed="false">
      <c r="A70" s="7"/>
      <c r="B70" s="10"/>
      <c r="C70" s="11"/>
      <c r="D70" s="8"/>
      <c r="E70" s="8"/>
      <c r="F70" s="8"/>
      <c r="G70" s="10"/>
      <c r="H70" s="10"/>
      <c r="I70" s="8"/>
      <c r="J70" s="11"/>
      <c r="K70" s="8"/>
      <c r="L70" s="8"/>
      <c r="M70" s="8"/>
      <c r="N70" s="11"/>
      <c r="O70" s="8"/>
      <c r="P70" s="12"/>
      <c r="Q70" s="8"/>
      <c r="R70" s="8"/>
      <c r="S70" s="9" t="str">
        <f aca="false">IF(E70="","",IF(AND(OR(D70="Restaurante",D70="Ingresso"),OR(K70="",K70="A decidir")),"Reserva a decidir; ","")&amp;IF(AND(D70="Ingresso",K70="Não"),"Ingresso não comprado; ","")&amp;IF(AND(K70="Sim",L70=""),"Reserva sem código; ","")&amp;IF(I70="Sim","Fechado no dia; ","")&amp;IF(AND(B70&lt;&gt;"",G70&lt;&gt;"",B70&lt;G70),"Antes de abrir; ","")&amp;IF(AND(B70&lt;&gt;"",H70&lt;&gt;"",B70+C70/1440&gt;H70),"Depois de fechar; ",""))</f>
        <v/>
      </c>
    </row>
    <row r="71" customFormat="false" ht="15" hidden="false" customHeight="false" outlineLevel="0" collapsed="false">
      <c r="A71" s="7"/>
      <c r="B71" s="10"/>
      <c r="C71" s="11"/>
      <c r="D71" s="8"/>
      <c r="E71" s="8"/>
      <c r="F71" s="8"/>
      <c r="G71" s="10"/>
      <c r="H71" s="10"/>
      <c r="I71" s="8"/>
      <c r="J71" s="11"/>
      <c r="K71" s="8"/>
      <c r="L71" s="8"/>
      <c r="M71" s="8"/>
      <c r="N71" s="11"/>
      <c r="O71" s="8"/>
      <c r="P71" s="12"/>
      <c r="Q71" s="8"/>
      <c r="R71" s="8"/>
      <c r="S71" s="9" t="str">
        <f aca="false">IF(E71="","",IF(AND(OR(D71="Restaurante",D71="Ingresso"),OR(K71="",K71="A decidir")),"Reserva a decidir; ","")&amp;IF(AND(D71="Ingresso",K71="Não"),"Ingresso não comprado; ","")&amp;IF(AND(K71="Sim",L71=""),"Reserva sem código; ","")&amp;IF(I71="Sim","Fechado no dia; ","")&amp;IF(AND(B71&lt;&gt;"",G71&lt;&gt;"",B71&lt;G71),"Antes de abrir; ","")&amp;IF(AND(B71&lt;&gt;"",H71&lt;&gt;"",B71+C71/1440&gt;H71),"Depois de fechar; ",""))</f>
        <v/>
      </c>
    </row>
    <row r="72" customFormat="false" ht="15" hidden="false" customHeight="false" outlineLevel="0" collapsed="false">
      <c r="A72" s="7"/>
      <c r="B72" s="10"/>
      <c r="C72" s="11"/>
      <c r="D72" s="8"/>
      <c r="E72" s="8"/>
      <c r="F72" s="8"/>
      <c r="G72" s="10"/>
      <c r="H72" s="10"/>
      <c r="I72" s="8"/>
      <c r="J72" s="11"/>
      <c r="K72" s="8"/>
      <c r="L72" s="8"/>
      <c r="M72" s="8"/>
      <c r="N72" s="11"/>
      <c r="O72" s="8"/>
      <c r="P72" s="12"/>
      <c r="Q72" s="8"/>
      <c r="R72" s="8"/>
      <c r="S72" s="9" t="str">
        <f aca="false">IF(E72="","",IF(AND(OR(D72="Restaurante",D72="Ingresso"),OR(K72="",K72="A decidir")),"Reserva a decidir; ","")&amp;IF(AND(D72="Ingresso",K72="Não"),"Ingresso não comprado; ","")&amp;IF(AND(K72="Sim",L72=""),"Reserva sem código; ","")&amp;IF(I72="Sim","Fechado no dia; ","")&amp;IF(AND(B72&lt;&gt;"",G72&lt;&gt;"",B72&lt;G72),"Antes de abrir; ","")&amp;IF(AND(B72&lt;&gt;"",H72&lt;&gt;"",B72+C72/1440&gt;H72),"Depois de fechar; ",""))</f>
        <v/>
      </c>
    </row>
    <row r="73" customFormat="false" ht="15" hidden="false" customHeight="false" outlineLevel="0" collapsed="false">
      <c r="A73" s="7"/>
      <c r="B73" s="10"/>
      <c r="C73" s="11"/>
      <c r="D73" s="8"/>
      <c r="E73" s="8"/>
      <c r="F73" s="8"/>
      <c r="G73" s="10"/>
      <c r="H73" s="10"/>
      <c r="I73" s="8"/>
      <c r="J73" s="11"/>
      <c r="K73" s="8"/>
      <c r="L73" s="8"/>
      <c r="M73" s="8"/>
      <c r="N73" s="11"/>
      <c r="O73" s="8"/>
      <c r="P73" s="12"/>
      <c r="Q73" s="8"/>
      <c r="R73" s="8"/>
      <c r="S73" s="9" t="str">
        <f aca="false">IF(E73="","",IF(AND(OR(D73="Restaurante",D73="Ingresso"),OR(K73="",K73="A decidir")),"Reserva a decidir; ","")&amp;IF(AND(D73="Ingresso",K73="Não"),"Ingresso não comprado; ","")&amp;IF(AND(K73="Sim",L73=""),"Reserva sem código; ","")&amp;IF(I73="Sim","Fechado no dia; ","")&amp;IF(AND(B73&lt;&gt;"",G73&lt;&gt;"",B73&lt;G73),"Antes de abrir; ","")&amp;IF(AND(B73&lt;&gt;"",H73&lt;&gt;"",B73+C73/1440&gt;H73),"Depois de fechar; ",""))</f>
        <v/>
      </c>
    </row>
    <row r="74" customFormat="false" ht="15" hidden="false" customHeight="false" outlineLevel="0" collapsed="false">
      <c r="A74" s="7"/>
      <c r="B74" s="10"/>
      <c r="C74" s="11"/>
      <c r="D74" s="8"/>
      <c r="E74" s="8"/>
      <c r="F74" s="8"/>
      <c r="G74" s="10"/>
      <c r="H74" s="10"/>
      <c r="I74" s="8"/>
      <c r="J74" s="11"/>
      <c r="K74" s="8"/>
      <c r="L74" s="8"/>
      <c r="M74" s="8"/>
      <c r="N74" s="11"/>
      <c r="O74" s="8"/>
      <c r="P74" s="12"/>
      <c r="Q74" s="8"/>
      <c r="R74" s="8"/>
      <c r="S74" s="9" t="str">
        <f aca="false">IF(E74="","",IF(AND(OR(D74="Restaurante",D74="Ingresso"),OR(K74="",K74="A decidir")),"Reserva a decidir; ","")&amp;IF(AND(D74="Ingresso",K74="Não"),"Ingresso não comprado; ","")&amp;IF(AND(K74="Sim",L74=""),"Reserva sem código; ","")&amp;IF(I74="Sim","Fechado no dia; ","")&amp;IF(AND(B74&lt;&gt;"",G74&lt;&gt;"",B74&lt;G74),"Antes de abrir; ","")&amp;IF(AND(B74&lt;&gt;"",H74&lt;&gt;"",B74+C74/1440&gt;H74),"Depois de fechar; ",""))</f>
        <v/>
      </c>
    </row>
    <row r="75" customFormat="false" ht="15" hidden="false" customHeight="false" outlineLevel="0" collapsed="false">
      <c r="A75" s="7"/>
      <c r="B75" s="10"/>
      <c r="C75" s="11"/>
      <c r="D75" s="8"/>
      <c r="E75" s="8"/>
      <c r="F75" s="8"/>
      <c r="G75" s="10"/>
      <c r="H75" s="10"/>
      <c r="I75" s="8"/>
      <c r="J75" s="11"/>
      <c r="K75" s="8"/>
      <c r="L75" s="8"/>
      <c r="M75" s="8"/>
      <c r="N75" s="11"/>
      <c r="O75" s="8"/>
      <c r="P75" s="12"/>
      <c r="Q75" s="8"/>
      <c r="R75" s="8"/>
      <c r="S75" s="9" t="str">
        <f aca="false">IF(E75="","",IF(AND(OR(D75="Restaurante",D75="Ingresso"),OR(K75="",K75="A decidir")),"Reserva a decidir; ","")&amp;IF(AND(D75="Ingresso",K75="Não"),"Ingresso não comprado; ","")&amp;IF(AND(K75="Sim",L75=""),"Reserva sem código; ","")&amp;IF(I75="Sim","Fechado no dia; ","")&amp;IF(AND(B75&lt;&gt;"",G75&lt;&gt;"",B75&lt;G75),"Antes de abrir; ","")&amp;IF(AND(B75&lt;&gt;"",H75&lt;&gt;"",B75+C75/1440&gt;H75),"Depois de fechar; ",""))</f>
        <v/>
      </c>
    </row>
    <row r="76" customFormat="false" ht="15" hidden="false" customHeight="false" outlineLevel="0" collapsed="false">
      <c r="A76" s="7"/>
      <c r="B76" s="10"/>
      <c r="C76" s="11"/>
      <c r="D76" s="8"/>
      <c r="E76" s="8"/>
      <c r="F76" s="8"/>
      <c r="G76" s="10"/>
      <c r="H76" s="10"/>
      <c r="I76" s="8"/>
      <c r="J76" s="11"/>
      <c r="K76" s="8"/>
      <c r="L76" s="8"/>
      <c r="M76" s="8"/>
      <c r="N76" s="11"/>
      <c r="O76" s="8"/>
      <c r="P76" s="12"/>
      <c r="Q76" s="8"/>
      <c r="R76" s="8"/>
      <c r="S76" s="9" t="str">
        <f aca="false">IF(E76="","",IF(AND(OR(D76="Restaurante",D76="Ingresso"),OR(K76="",K76="A decidir")),"Reserva a decidir; ","")&amp;IF(AND(D76="Ingresso",K76="Não"),"Ingresso não comprado; ","")&amp;IF(AND(K76="Sim",L76=""),"Reserva sem código; ","")&amp;IF(I76="Sim","Fechado no dia; ","")&amp;IF(AND(B76&lt;&gt;"",G76&lt;&gt;"",B76&lt;G76),"Antes de abrir; ","")&amp;IF(AND(B76&lt;&gt;"",H76&lt;&gt;"",B76+C76/1440&gt;H76),"Depois de fechar; ",""))</f>
        <v/>
      </c>
    </row>
    <row r="77" customFormat="false" ht="15" hidden="false" customHeight="false" outlineLevel="0" collapsed="false">
      <c r="A77" s="7"/>
      <c r="B77" s="10"/>
      <c r="C77" s="11"/>
      <c r="D77" s="8"/>
      <c r="E77" s="8"/>
      <c r="F77" s="8"/>
      <c r="G77" s="10"/>
      <c r="H77" s="10"/>
      <c r="I77" s="8"/>
      <c r="J77" s="11"/>
      <c r="K77" s="8"/>
      <c r="L77" s="8"/>
      <c r="M77" s="8"/>
      <c r="N77" s="11"/>
      <c r="O77" s="8"/>
      <c r="P77" s="12"/>
      <c r="Q77" s="8"/>
      <c r="R77" s="8"/>
      <c r="S77" s="9" t="str">
        <f aca="false">IF(E77="","",IF(AND(OR(D77="Restaurante",D77="Ingresso"),OR(K77="",K77="A decidir")),"Reserva a decidir; ","")&amp;IF(AND(D77="Ingresso",K77="Não"),"Ingresso não comprado; ","")&amp;IF(AND(K77="Sim",L77=""),"Reserva sem código; ","")&amp;IF(I77="Sim","Fechado no dia; ","")&amp;IF(AND(B77&lt;&gt;"",G77&lt;&gt;"",B77&lt;G77),"Antes de abrir; ","")&amp;IF(AND(B77&lt;&gt;"",H77&lt;&gt;"",B77+C77/1440&gt;H77),"Depois de fechar; ",""))</f>
        <v/>
      </c>
    </row>
    <row r="78" customFormat="false" ht="15" hidden="false" customHeight="false" outlineLevel="0" collapsed="false">
      <c r="A78" s="7"/>
      <c r="B78" s="10"/>
      <c r="C78" s="11"/>
      <c r="D78" s="8"/>
      <c r="E78" s="8"/>
      <c r="F78" s="8"/>
      <c r="G78" s="10"/>
      <c r="H78" s="10"/>
      <c r="I78" s="8"/>
      <c r="J78" s="11"/>
      <c r="K78" s="8"/>
      <c r="L78" s="8"/>
      <c r="M78" s="8"/>
      <c r="N78" s="11"/>
      <c r="O78" s="8"/>
      <c r="P78" s="12"/>
      <c r="Q78" s="8"/>
      <c r="R78" s="8"/>
      <c r="S78" s="9" t="str">
        <f aca="false">IF(E78="","",IF(AND(OR(D78="Restaurante",D78="Ingresso"),OR(K78="",K78="A decidir")),"Reserva a decidir; ","")&amp;IF(AND(D78="Ingresso",K78="Não"),"Ingresso não comprado; ","")&amp;IF(AND(K78="Sim",L78=""),"Reserva sem código; ","")&amp;IF(I78="Sim","Fechado no dia; ","")&amp;IF(AND(B78&lt;&gt;"",G78&lt;&gt;"",B78&lt;G78),"Antes de abrir; ","")&amp;IF(AND(B78&lt;&gt;"",H78&lt;&gt;"",B78+C78/1440&gt;H78),"Depois de fechar; ",""))</f>
        <v/>
      </c>
    </row>
    <row r="79" customFormat="false" ht="15" hidden="false" customHeight="false" outlineLevel="0" collapsed="false">
      <c r="A79" s="7"/>
      <c r="B79" s="10"/>
      <c r="C79" s="11"/>
      <c r="D79" s="8"/>
      <c r="E79" s="8"/>
      <c r="F79" s="8"/>
      <c r="G79" s="10"/>
      <c r="H79" s="10"/>
      <c r="I79" s="8"/>
      <c r="J79" s="11"/>
      <c r="K79" s="8"/>
      <c r="L79" s="8"/>
      <c r="M79" s="8"/>
      <c r="N79" s="11"/>
      <c r="O79" s="8"/>
      <c r="P79" s="12"/>
      <c r="Q79" s="8"/>
      <c r="R79" s="8"/>
      <c r="S79" s="9" t="str">
        <f aca="false">IF(E79="","",IF(AND(OR(D79="Restaurante",D79="Ingresso"),OR(K79="",K79="A decidir")),"Reserva a decidir; ","")&amp;IF(AND(D79="Ingresso",K79="Não"),"Ingresso não comprado; ","")&amp;IF(AND(K79="Sim",L79=""),"Reserva sem código; ","")&amp;IF(I79="Sim","Fechado no dia; ","")&amp;IF(AND(B79&lt;&gt;"",G79&lt;&gt;"",B79&lt;G79),"Antes de abrir; ","")&amp;IF(AND(B79&lt;&gt;"",H79&lt;&gt;"",B79+C79/1440&gt;H79),"Depois de fechar; ",""))</f>
        <v/>
      </c>
    </row>
    <row r="80" customFormat="false" ht="15" hidden="false" customHeight="false" outlineLevel="0" collapsed="false">
      <c r="A80" s="7"/>
      <c r="B80" s="10"/>
      <c r="C80" s="11"/>
      <c r="D80" s="8"/>
      <c r="E80" s="8"/>
      <c r="F80" s="8"/>
      <c r="G80" s="10"/>
      <c r="H80" s="10"/>
      <c r="I80" s="8"/>
      <c r="J80" s="11"/>
      <c r="K80" s="8"/>
      <c r="L80" s="8"/>
      <c r="M80" s="8"/>
      <c r="N80" s="11"/>
      <c r="O80" s="8"/>
      <c r="P80" s="12"/>
      <c r="Q80" s="8"/>
      <c r="R80" s="8"/>
      <c r="S80" s="9" t="str">
        <f aca="false">IF(E80="","",IF(AND(OR(D80="Restaurante",D80="Ingresso"),OR(K80="",K80="A decidir")),"Reserva a decidir; ","")&amp;IF(AND(D80="Ingresso",K80="Não"),"Ingresso não comprado; ","")&amp;IF(AND(K80="Sim",L80=""),"Reserva sem código; ","")&amp;IF(I80="Sim","Fechado no dia; ","")&amp;IF(AND(B80&lt;&gt;"",G80&lt;&gt;"",B80&lt;G80),"Antes de abrir; ","")&amp;IF(AND(B80&lt;&gt;"",H80&lt;&gt;"",B80+C80/1440&gt;H80),"Depois de fechar; ",""))</f>
        <v/>
      </c>
    </row>
    <row r="81" customFormat="false" ht="15" hidden="false" customHeight="false" outlineLevel="0" collapsed="false">
      <c r="A81" s="7"/>
      <c r="B81" s="10"/>
      <c r="C81" s="11"/>
      <c r="D81" s="8"/>
      <c r="E81" s="8"/>
      <c r="F81" s="8"/>
      <c r="G81" s="10"/>
      <c r="H81" s="10"/>
      <c r="I81" s="8"/>
      <c r="J81" s="11"/>
      <c r="K81" s="8"/>
      <c r="L81" s="8"/>
      <c r="M81" s="8"/>
      <c r="N81" s="11"/>
      <c r="O81" s="8"/>
      <c r="P81" s="12"/>
      <c r="Q81" s="8"/>
      <c r="R81" s="8"/>
      <c r="S81" s="9" t="str">
        <f aca="false">IF(E81="","",IF(AND(OR(D81="Restaurante",D81="Ingresso"),OR(K81="",K81="A decidir")),"Reserva a decidir; ","")&amp;IF(AND(D81="Ingresso",K81="Não"),"Ingresso não comprado; ","")&amp;IF(AND(K81="Sim",L81=""),"Reserva sem código; ","")&amp;IF(I81="Sim","Fechado no dia; ","")&amp;IF(AND(B81&lt;&gt;"",G81&lt;&gt;"",B81&lt;G81),"Antes de abrir; ","")&amp;IF(AND(B81&lt;&gt;"",H81&lt;&gt;"",B81+C81/1440&gt;H81),"Depois de fechar; ",""))</f>
        <v/>
      </c>
    </row>
    <row r="82" customFormat="false" ht="15" hidden="false" customHeight="false" outlineLevel="0" collapsed="false">
      <c r="A82" s="7"/>
      <c r="B82" s="10"/>
      <c r="C82" s="11"/>
      <c r="D82" s="8"/>
      <c r="E82" s="8"/>
      <c r="F82" s="8"/>
      <c r="G82" s="10"/>
      <c r="H82" s="10"/>
      <c r="I82" s="8"/>
      <c r="J82" s="11"/>
      <c r="K82" s="8"/>
      <c r="L82" s="8"/>
      <c r="M82" s="8"/>
      <c r="N82" s="11"/>
      <c r="O82" s="8"/>
      <c r="P82" s="12"/>
      <c r="Q82" s="8"/>
      <c r="R82" s="8"/>
      <c r="S82" s="9" t="str">
        <f aca="false">IF(E82="","",IF(AND(OR(D82="Restaurante",D82="Ingresso"),OR(K82="",K82="A decidir")),"Reserva a decidir; ","")&amp;IF(AND(D82="Ingresso",K82="Não"),"Ingresso não comprado; ","")&amp;IF(AND(K82="Sim",L82=""),"Reserva sem código; ","")&amp;IF(I82="Sim","Fechado no dia; ","")&amp;IF(AND(B82&lt;&gt;"",G82&lt;&gt;"",B82&lt;G82),"Antes de abrir; ","")&amp;IF(AND(B82&lt;&gt;"",H82&lt;&gt;"",B82+C82/1440&gt;H82),"Depois de fechar; ",""))</f>
        <v/>
      </c>
    </row>
    <row r="83" customFormat="false" ht="15" hidden="false" customHeight="false" outlineLevel="0" collapsed="false">
      <c r="A83" s="7"/>
      <c r="B83" s="10"/>
      <c r="C83" s="11"/>
      <c r="D83" s="8"/>
      <c r="E83" s="8"/>
      <c r="F83" s="8"/>
      <c r="G83" s="10"/>
      <c r="H83" s="10"/>
      <c r="I83" s="8"/>
      <c r="J83" s="11"/>
      <c r="K83" s="8"/>
      <c r="L83" s="8"/>
      <c r="M83" s="8"/>
      <c r="N83" s="11"/>
      <c r="O83" s="8"/>
      <c r="P83" s="12"/>
      <c r="Q83" s="8"/>
      <c r="R83" s="8"/>
      <c r="S83" s="9" t="str">
        <f aca="false">IF(E83="","",IF(AND(OR(D83="Restaurante",D83="Ingresso"),OR(K83="",K83="A decidir")),"Reserva a decidir; ","")&amp;IF(AND(D83="Ingresso",K83="Não"),"Ingresso não comprado; ","")&amp;IF(AND(K83="Sim",L83=""),"Reserva sem código; ","")&amp;IF(I83="Sim","Fechado no dia; ","")&amp;IF(AND(B83&lt;&gt;"",G83&lt;&gt;"",B83&lt;G83),"Antes de abrir; ","")&amp;IF(AND(B83&lt;&gt;"",H83&lt;&gt;"",B83+C83/1440&gt;H83),"Depois de fechar; ",""))</f>
        <v/>
      </c>
    </row>
    <row r="84" customFormat="false" ht="15" hidden="false" customHeight="false" outlineLevel="0" collapsed="false">
      <c r="A84" s="7"/>
      <c r="B84" s="10"/>
      <c r="C84" s="11"/>
      <c r="D84" s="8"/>
      <c r="E84" s="8"/>
      <c r="F84" s="8"/>
      <c r="G84" s="10"/>
      <c r="H84" s="10"/>
      <c r="I84" s="8"/>
      <c r="J84" s="11"/>
      <c r="K84" s="8"/>
      <c r="L84" s="8"/>
      <c r="M84" s="8"/>
      <c r="N84" s="11"/>
      <c r="O84" s="8"/>
      <c r="P84" s="12"/>
      <c r="Q84" s="8"/>
      <c r="R84" s="8"/>
      <c r="S84" s="9" t="str">
        <f aca="false">IF(E84="","",IF(AND(OR(D84="Restaurante",D84="Ingresso"),OR(K84="",K84="A decidir")),"Reserva a decidir; ","")&amp;IF(AND(D84="Ingresso",K84="Não"),"Ingresso não comprado; ","")&amp;IF(AND(K84="Sim",L84=""),"Reserva sem código; ","")&amp;IF(I84="Sim","Fechado no dia; ","")&amp;IF(AND(B84&lt;&gt;"",G84&lt;&gt;"",B84&lt;G84),"Antes de abrir; ","")&amp;IF(AND(B84&lt;&gt;"",H84&lt;&gt;"",B84+C84/1440&gt;H84),"Depois de fechar; ",""))</f>
        <v/>
      </c>
    </row>
    <row r="85" customFormat="false" ht="15" hidden="false" customHeight="false" outlineLevel="0" collapsed="false">
      <c r="A85" s="7"/>
      <c r="B85" s="10"/>
      <c r="C85" s="11"/>
      <c r="D85" s="8"/>
      <c r="E85" s="8"/>
      <c r="F85" s="8"/>
      <c r="G85" s="10"/>
      <c r="H85" s="10"/>
      <c r="I85" s="8"/>
      <c r="J85" s="11"/>
      <c r="K85" s="8"/>
      <c r="L85" s="8"/>
      <c r="M85" s="8"/>
      <c r="N85" s="11"/>
      <c r="O85" s="8"/>
      <c r="P85" s="12"/>
      <c r="Q85" s="8"/>
      <c r="R85" s="8"/>
      <c r="S85" s="9" t="str">
        <f aca="false">IF(E85="","",IF(AND(OR(D85="Restaurante",D85="Ingresso"),OR(K85="",K85="A decidir")),"Reserva a decidir; ","")&amp;IF(AND(D85="Ingresso",K85="Não"),"Ingresso não comprado; ","")&amp;IF(AND(K85="Sim",L85=""),"Reserva sem código; ","")&amp;IF(I85="Sim","Fechado no dia; ","")&amp;IF(AND(B85&lt;&gt;"",G85&lt;&gt;"",B85&lt;G85),"Antes de abrir; ","")&amp;IF(AND(B85&lt;&gt;"",H85&lt;&gt;"",B85+C85/1440&gt;H85),"Depois de fechar; ",""))</f>
        <v/>
      </c>
    </row>
    <row r="86" customFormat="false" ht="15" hidden="false" customHeight="false" outlineLevel="0" collapsed="false">
      <c r="A86" s="7"/>
      <c r="B86" s="10"/>
      <c r="C86" s="11"/>
      <c r="D86" s="8"/>
      <c r="E86" s="8"/>
      <c r="F86" s="8"/>
      <c r="G86" s="10"/>
      <c r="H86" s="10"/>
      <c r="I86" s="8"/>
      <c r="J86" s="11"/>
      <c r="K86" s="8"/>
      <c r="L86" s="8"/>
      <c r="M86" s="8"/>
      <c r="N86" s="11"/>
      <c r="O86" s="8"/>
      <c r="P86" s="12"/>
      <c r="Q86" s="8"/>
      <c r="R86" s="8"/>
      <c r="S86" s="9" t="str">
        <f aca="false">IF(E86="","",IF(AND(OR(D86="Restaurante",D86="Ingresso"),OR(K86="",K86="A decidir")),"Reserva a decidir; ","")&amp;IF(AND(D86="Ingresso",K86="Não"),"Ingresso não comprado; ","")&amp;IF(AND(K86="Sim",L86=""),"Reserva sem código; ","")&amp;IF(I86="Sim","Fechado no dia; ","")&amp;IF(AND(B86&lt;&gt;"",G86&lt;&gt;"",B86&lt;G86),"Antes de abrir; ","")&amp;IF(AND(B86&lt;&gt;"",H86&lt;&gt;"",B86+C86/1440&gt;H86),"Depois de fechar; ",""))</f>
        <v/>
      </c>
    </row>
    <row r="87" customFormat="false" ht="15" hidden="false" customHeight="false" outlineLevel="0" collapsed="false">
      <c r="A87" s="7"/>
      <c r="B87" s="10"/>
      <c r="C87" s="11"/>
      <c r="D87" s="8"/>
      <c r="E87" s="8"/>
      <c r="F87" s="8"/>
      <c r="G87" s="10"/>
      <c r="H87" s="10"/>
      <c r="I87" s="8"/>
      <c r="J87" s="11"/>
      <c r="K87" s="8"/>
      <c r="L87" s="8"/>
      <c r="M87" s="8"/>
      <c r="N87" s="11"/>
      <c r="O87" s="8"/>
      <c r="P87" s="12"/>
      <c r="Q87" s="8"/>
      <c r="R87" s="8"/>
      <c r="S87" s="9" t="str">
        <f aca="false">IF(E87="","",IF(AND(OR(D87="Restaurante",D87="Ingresso"),OR(K87="",K87="A decidir")),"Reserva a decidir; ","")&amp;IF(AND(D87="Ingresso",K87="Não"),"Ingresso não comprado; ","")&amp;IF(AND(K87="Sim",L87=""),"Reserva sem código; ","")&amp;IF(I87="Sim","Fechado no dia; ","")&amp;IF(AND(B87&lt;&gt;"",G87&lt;&gt;"",B87&lt;G87),"Antes de abrir; ","")&amp;IF(AND(B87&lt;&gt;"",H87&lt;&gt;"",B87+C87/1440&gt;H87),"Depois de fechar; ",""))</f>
        <v/>
      </c>
    </row>
    <row r="88" customFormat="false" ht="15" hidden="false" customHeight="false" outlineLevel="0" collapsed="false">
      <c r="A88" s="7"/>
      <c r="B88" s="10"/>
      <c r="C88" s="11"/>
      <c r="D88" s="8"/>
      <c r="E88" s="8"/>
      <c r="F88" s="8"/>
      <c r="G88" s="10"/>
      <c r="H88" s="10"/>
      <c r="I88" s="8"/>
      <c r="J88" s="11"/>
      <c r="K88" s="8"/>
      <c r="L88" s="8"/>
      <c r="M88" s="8"/>
      <c r="N88" s="11"/>
      <c r="O88" s="8"/>
      <c r="P88" s="12"/>
      <c r="Q88" s="8"/>
      <c r="R88" s="8"/>
      <c r="S88" s="9" t="str">
        <f aca="false">IF(E88="","",IF(AND(OR(D88="Restaurante",D88="Ingresso"),OR(K88="",K88="A decidir")),"Reserva a decidir; ","")&amp;IF(AND(D88="Ingresso",K88="Não"),"Ingresso não comprado; ","")&amp;IF(AND(K88="Sim",L88=""),"Reserva sem código; ","")&amp;IF(I88="Sim","Fechado no dia; ","")&amp;IF(AND(B88&lt;&gt;"",G88&lt;&gt;"",B88&lt;G88),"Antes de abrir; ","")&amp;IF(AND(B88&lt;&gt;"",H88&lt;&gt;"",B88+C88/1440&gt;H88),"Depois de fechar; ",""))</f>
        <v/>
      </c>
    </row>
    <row r="89" customFormat="false" ht="15" hidden="false" customHeight="false" outlineLevel="0" collapsed="false">
      <c r="A89" s="7"/>
      <c r="B89" s="10"/>
      <c r="C89" s="11"/>
      <c r="D89" s="8"/>
      <c r="E89" s="8"/>
      <c r="F89" s="8"/>
      <c r="G89" s="10"/>
      <c r="H89" s="10"/>
      <c r="I89" s="8"/>
      <c r="J89" s="11"/>
      <c r="K89" s="8"/>
      <c r="L89" s="8"/>
      <c r="M89" s="8"/>
      <c r="N89" s="11"/>
      <c r="O89" s="8"/>
      <c r="P89" s="12"/>
      <c r="Q89" s="8"/>
      <c r="R89" s="8"/>
      <c r="S89" s="9" t="str">
        <f aca="false">IF(E89="","",IF(AND(OR(D89="Restaurante",D89="Ingresso"),OR(K89="",K89="A decidir")),"Reserva a decidir; ","")&amp;IF(AND(D89="Ingresso",K89="Não"),"Ingresso não comprado; ","")&amp;IF(AND(K89="Sim",L89=""),"Reserva sem código; ","")&amp;IF(I89="Sim","Fechado no dia; ","")&amp;IF(AND(B89&lt;&gt;"",G89&lt;&gt;"",B89&lt;G89),"Antes de abrir; ","")&amp;IF(AND(B89&lt;&gt;"",H89&lt;&gt;"",B89+C89/1440&gt;H89),"Depois de fechar; ",""))</f>
        <v/>
      </c>
    </row>
    <row r="90" customFormat="false" ht="15" hidden="false" customHeight="false" outlineLevel="0" collapsed="false">
      <c r="A90" s="7"/>
      <c r="B90" s="10"/>
      <c r="C90" s="11"/>
      <c r="D90" s="8"/>
      <c r="E90" s="8"/>
      <c r="F90" s="8"/>
      <c r="G90" s="10"/>
      <c r="H90" s="10"/>
      <c r="I90" s="8"/>
      <c r="J90" s="11"/>
      <c r="K90" s="8"/>
      <c r="L90" s="8"/>
      <c r="M90" s="8"/>
      <c r="N90" s="11"/>
      <c r="O90" s="8"/>
      <c r="P90" s="12"/>
      <c r="Q90" s="8"/>
      <c r="R90" s="8"/>
      <c r="S90" s="9" t="str">
        <f aca="false">IF(E90="","",IF(AND(OR(D90="Restaurante",D90="Ingresso"),OR(K90="",K90="A decidir")),"Reserva a decidir; ","")&amp;IF(AND(D90="Ingresso",K90="Não"),"Ingresso não comprado; ","")&amp;IF(AND(K90="Sim",L90=""),"Reserva sem código; ","")&amp;IF(I90="Sim","Fechado no dia; ","")&amp;IF(AND(B90&lt;&gt;"",G90&lt;&gt;"",B90&lt;G90),"Antes de abrir; ","")&amp;IF(AND(B90&lt;&gt;"",H90&lt;&gt;"",B90+C90/1440&gt;H90),"Depois de fechar; ",""))</f>
        <v/>
      </c>
    </row>
    <row r="91" customFormat="false" ht="15" hidden="false" customHeight="false" outlineLevel="0" collapsed="false">
      <c r="A91" s="7"/>
      <c r="B91" s="10"/>
      <c r="C91" s="11"/>
      <c r="D91" s="8"/>
      <c r="E91" s="8"/>
      <c r="F91" s="8"/>
      <c r="G91" s="10"/>
      <c r="H91" s="10"/>
      <c r="I91" s="8"/>
      <c r="J91" s="11"/>
      <c r="K91" s="8"/>
      <c r="L91" s="8"/>
      <c r="M91" s="8"/>
      <c r="N91" s="11"/>
      <c r="O91" s="8"/>
      <c r="P91" s="12"/>
      <c r="Q91" s="8"/>
      <c r="R91" s="8"/>
      <c r="S91" s="9" t="str">
        <f aca="false">IF(E91="","",IF(AND(OR(D91="Restaurante",D91="Ingresso"),OR(K91="",K91="A decidir")),"Reserva a decidir; ","")&amp;IF(AND(D91="Ingresso",K91="Não"),"Ingresso não comprado; ","")&amp;IF(AND(K91="Sim",L91=""),"Reserva sem código; ","")&amp;IF(I91="Sim","Fechado no dia; ","")&amp;IF(AND(B91&lt;&gt;"",G91&lt;&gt;"",B91&lt;G91),"Antes de abrir; ","")&amp;IF(AND(B91&lt;&gt;"",H91&lt;&gt;"",B91+C91/1440&gt;H91),"Depois de fechar; ",""))</f>
        <v/>
      </c>
    </row>
    <row r="92" customFormat="false" ht="15" hidden="false" customHeight="false" outlineLevel="0" collapsed="false">
      <c r="A92" s="7"/>
      <c r="B92" s="10"/>
      <c r="C92" s="11"/>
      <c r="D92" s="8"/>
      <c r="E92" s="8"/>
      <c r="F92" s="8"/>
      <c r="G92" s="10"/>
      <c r="H92" s="10"/>
      <c r="I92" s="8"/>
      <c r="J92" s="11"/>
      <c r="K92" s="8"/>
      <c r="L92" s="8"/>
      <c r="M92" s="8"/>
      <c r="N92" s="11"/>
      <c r="O92" s="8"/>
      <c r="P92" s="12"/>
      <c r="Q92" s="8"/>
      <c r="R92" s="8"/>
      <c r="S92" s="9" t="str">
        <f aca="false">IF(E92="","",IF(AND(OR(D92="Restaurante",D92="Ingresso"),OR(K92="",K92="A decidir")),"Reserva a decidir; ","")&amp;IF(AND(D92="Ingresso",K92="Não"),"Ingresso não comprado; ","")&amp;IF(AND(K92="Sim",L92=""),"Reserva sem código; ","")&amp;IF(I92="Sim","Fechado no dia; ","")&amp;IF(AND(B92&lt;&gt;"",G92&lt;&gt;"",B92&lt;G92),"Antes de abrir; ","")&amp;IF(AND(B92&lt;&gt;"",H92&lt;&gt;"",B92+C92/1440&gt;H92),"Depois de fechar; ",""))</f>
        <v/>
      </c>
    </row>
    <row r="93" customFormat="false" ht="15" hidden="false" customHeight="false" outlineLevel="0" collapsed="false">
      <c r="A93" s="7"/>
      <c r="B93" s="10"/>
      <c r="C93" s="11"/>
      <c r="D93" s="8"/>
      <c r="E93" s="8"/>
      <c r="F93" s="8"/>
      <c r="G93" s="10"/>
      <c r="H93" s="10"/>
      <c r="I93" s="8"/>
      <c r="J93" s="11"/>
      <c r="K93" s="8"/>
      <c r="L93" s="8"/>
      <c r="M93" s="8"/>
      <c r="N93" s="11"/>
      <c r="O93" s="8"/>
      <c r="P93" s="12"/>
      <c r="Q93" s="8"/>
      <c r="R93" s="8"/>
      <c r="S93" s="9" t="str">
        <f aca="false">IF(E93="","",IF(AND(OR(D93="Restaurante",D93="Ingresso"),OR(K93="",K93="A decidir")),"Reserva a decidir; ","")&amp;IF(AND(D93="Ingresso",K93="Não"),"Ingresso não comprado; ","")&amp;IF(AND(K93="Sim",L93=""),"Reserva sem código; ","")&amp;IF(I93="Sim","Fechado no dia; ","")&amp;IF(AND(B93&lt;&gt;"",G93&lt;&gt;"",B93&lt;G93),"Antes de abrir; ","")&amp;IF(AND(B93&lt;&gt;"",H93&lt;&gt;"",B93+C93/1440&gt;H93),"Depois de fechar; ",""))</f>
        <v/>
      </c>
    </row>
    <row r="94" customFormat="false" ht="15" hidden="false" customHeight="false" outlineLevel="0" collapsed="false">
      <c r="A94" s="7"/>
      <c r="B94" s="10"/>
      <c r="C94" s="11"/>
      <c r="D94" s="8"/>
      <c r="E94" s="8"/>
      <c r="F94" s="8"/>
      <c r="G94" s="10"/>
      <c r="H94" s="10"/>
      <c r="I94" s="8"/>
      <c r="J94" s="11"/>
      <c r="K94" s="8"/>
      <c r="L94" s="8"/>
      <c r="M94" s="8"/>
      <c r="N94" s="11"/>
      <c r="O94" s="8"/>
      <c r="P94" s="12"/>
      <c r="Q94" s="8"/>
      <c r="R94" s="8"/>
      <c r="S94" s="9" t="str">
        <f aca="false">IF(E94="","",IF(AND(OR(D94="Restaurante",D94="Ingresso"),OR(K94="",K94="A decidir")),"Reserva a decidir; ","")&amp;IF(AND(D94="Ingresso",K94="Não"),"Ingresso não comprado; ","")&amp;IF(AND(K94="Sim",L94=""),"Reserva sem código; ","")&amp;IF(I94="Sim","Fechado no dia; ","")&amp;IF(AND(B94&lt;&gt;"",G94&lt;&gt;"",B94&lt;G94),"Antes de abrir; ","")&amp;IF(AND(B94&lt;&gt;"",H94&lt;&gt;"",B94+C94/1440&gt;H94),"Depois de fechar; ",""))</f>
        <v/>
      </c>
    </row>
    <row r="95" customFormat="false" ht="15" hidden="false" customHeight="false" outlineLevel="0" collapsed="false">
      <c r="A95" s="7"/>
      <c r="B95" s="10"/>
      <c r="C95" s="11"/>
      <c r="D95" s="8"/>
      <c r="E95" s="8"/>
      <c r="F95" s="8"/>
      <c r="G95" s="10"/>
      <c r="H95" s="10"/>
      <c r="I95" s="8"/>
      <c r="J95" s="11"/>
      <c r="K95" s="8"/>
      <c r="L95" s="8"/>
      <c r="M95" s="8"/>
      <c r="N95" s="11"/>
      <c r="O95" s="8"/>
      <c r="P95" s="12"/>
      <c r="Q95" s="8"/>
      <c r="R95" s="8"/>
      <c r="S95" s="9" t="str">
        <f aca="false">IF(E95="","",IF(AND(OR(D95="Restaurante",D95="Ingresso"),OR(K95="",K95="A decidir")),"Reserva a decidir; ","")&amp;IF(AND(D95="Ingresso",K95="Não"),"Ingresso não comprado; ","")&amp;IF(AND(K95="Sim",L95=""),"Reserva sem código; ","")&amp;IF(I95="Sim","Fechado no dia; ","")&amp;IF(AND(B95&lt;&gt;"",G95&lt;&gt;"",B95&lt;G95),"Antes de abrir; ","")&amp;IF(AND(B95&lt;&gt;"",H95&lt;&gt;"",B95+C95/1440&gt;H95),"Depois de fechar; ",""))</f>
        <v/>
      </c>
    </row>
    <row r="96" customFormat="false" ht="15" hidden="false" customHeight="false" outlineLevel="0" collapsed="false">
      <c r="A96" s="7"/>
      <c r="B96" s="10"/>
      <c r="C96" s="11"/>
      <c r="D96" s="8"/>
      <c r="E96" s="8"/>
      <c r="F96" s="8"/>
      <c r="G96" s="10"/>
      <c r="H96" s="10"/>
      <c r="I96" s="8"/>
      <c r="J96" s="11"/>
      <c r="K96" s="8"/>
      <c r="L96" s="8"/>
      <c r="M96" s="8"/>
      <c r="N96" s="11"/>
      <c r="O96" s="8"/>
      <c r="P96" s="12"/>
      <c r="Q96" s="8"/>
      <c r="R96" s="8"/>
      <c r="S96" s="9" t="str">
        <f aca="false">IF(E96="","",IF(AND(OR(D96="Restaurante",D96="Ingresso"),OR(K96="",K96="A decidir")),"Reserva a decidir; ","")&amp;IF(AND(D96="Ingresso",K96="Não"),"Ingresso não comprado; ","")&amp;IF(AND(K96="Sim",L96=""),"Reserva sem código; ","")&amp;IF(I96="Sim","Fechado no dia; ","")&amp;IF(AND(B96&lt;&gt;"",G96&lt;&gt;"",B96&lt;G96),"Antes de abrir; ","")&amp;IF(AND(B96&lt;&gt;"",H96&lt;&gt;"",B96+C96/1440&gt;H96),"Depois de fechar; ",""))</f>
        <v/>
      </c>
    </row>
    <row r="97" customFormat="false" ht="15" hidden="false" customHeight="false" outlineLevel="0" collapsed="false">
      <c r="A97" s="7"/>
      <c r="B97" s="10"/>
      <c r="C97" s="11"/>
      <c r="D97" s="8"/>
      <c r="E97" s="8"/>
      <c r="F97" s="8"/>
      <c r="G97" s="10"/>
      <c r="H97" s="10"/>
      <c r="I97" s="8"/>
      <c r="J97" s="11"/>
      <c r="K97" s="8"/>
      <c r="L97" s="8"/>
      <c r="M97" s="8"/>
      <c r="N97" s="11"/>
      <c r="O97" s="8"/>
      <c r="P97" s="12"/>
      <c r="Q97" s="8"/>
      <c r="R97" s="8"/>
      <c r="S97" s="9" t="str">
        <f aca="false">IF(E97="","",IF(AND(OR(D97="Restaurante",D97="Ingresso"),OR(K97="",K97="A decidir")),"Reserva a decidir; ","")&amp;IF(AND(D97="Ingresso",K97="Não"),"Ingresso não comprado; ","")&amp;IF(AND(K97="Sim",L97=""),"Reserva sem código; ","")&amp;IF(I97="Sim","Fechado no dia; ","")&amp;IF(AND(B97&lt;&gt;"",G97&lt;&gt;"",B97&lt;G97),"Antes de abrir; ","")&amp;IF(AND(B97&lt;&gt;"",H97&lt;&gt;"",B97+C97/1440&gt;H97),"Depois de fechar; ",""))</f>
        <v/>
      </c>
    </row>
    <row r="98" customFormat="false" ht="15" hidden="false" customHeight="false" outlineLevel="0" collapsed="false">
      <c r="A98" s="7"/>
      <c r="B98" s="10"/>
      <c r="C98" s="11"/>
      <c r="D98" s="8"/>
      <c r="E98" s="8"/>
      <c r="F98" s="8"/>
      <c r="G98" s="10"/>
      <c r="H98" s="10"/>
      <c r="I98" s="8"/>
      <c r="J98" s="11"/>
      <c r="K98" s="8"/>
      <c r="L98" s="8"/>
      <c r="M98" s="8"/>
      <c r="N98" s="11"/>
      <c r="O98" s="8"/>
      <c r="P98" s="12"/>
      <c r="Q98" s="8"/>
      <c r="R98" s="8"/>
      <c r="S98" s="9" t="str">
        <f aca="false">IF(E98="","",IF(AND(OR(D98="Restaurante",D98="Ingresso"),OR(K98="",K98="A decidir")),"Reserva a decidir; ","")&amp;IF(AND(D98="Ingresso",K98="Não"),"Ingresso não comprado; ","")&amp;IF(AND(K98="Sim",L98=""),"Reserva sem código; ","")&amp;IF(I98="Sim","Fechado no dia; ","")&amp;IF(AND(B98&lt;&gt;"",G98&lt;&gt;"",B98&lt;G98),"Antes de abrir; ","")&amp;IF(AND(B98&lt;&gt;"",H98&lt;&gt;"",B98+C98/1440&gt;H98),"Depois de fechar; ",""))</f>
        <v/>
      </c>
    </row>
    <row r="99" customFormat="false" ht="15" hidden="false" customHeight="false" outlineLevel="0" collapsed="false">
      <c r="A99" s="7"/>
      <c r="B99" s="10"/>
      <c r="C99" s="11"/>
      <c r="D99" s="8"/>
      <c r="E99" s="8"/>
      <c r="F99" s="8"/>
      <c r="G99" s="10"/>
      <c r="H99" s="10"/>
      <c r="I99" s="8"/>
      <c r="J99" s="11"/>
      <c r="K99" s="8"/>
      <c r="L99" s="8"/>
      <c r="M99" s="8"/>
      <c r="N99" s="11"/>
      <c r="O99" s="8"/>
      <c r="P99" s="12"/>
      <c r="Q99" s="8"/>
      <c r="R99" s="8"/>
      <c r="S99" s="9" t="str">
        <f aca="false">IF(E99="","",IF(AND(OR(D99="Restaurante",D99="Ingresso"),OR(K99="",K99="A decidir")),"Reserva a decidir; ","")&amp;IF(AND(D99="Ingresso",K99="Não"),"Ingresso não comprado; ","")&amp;IF(AND(K99="Sim",L99=""),"Reserva sem código; ","")&amp;IF(I99="Sim","Fechado no dia; ","")&amp;IF(AND(B99&lt;&gt;"",G99&lt;&gt;"",B99&lt;G99),"Antes de abrir; ","")&amp;IF(AND(B99&lt;&gt;"",H99&lt;&gt;"",B99+C99/1440&gt;H99),"Depois de fechar; ",""))</f>
        <v/>
      </c>
    </row>
    <row r="100" customFormat="false" ht="15" hidden="false" customHeight="false" outlineLevel="0" collapsed="false">
      <c r="A100" s="7"/>
      <c r="B100" s="10"/>
      <c r="C100" s="11"/>
      <c r="D100" s="8"/>
      <c r="E100" s="8"/>
      <c r="F100" s="8"/>
      <c r="G100" s="10"/>
      <c r="H100" s="10"/>
      <c r="I100" s="8"/>
      <c r="J100" s="11"/>
      <c r="K100" s="8"/>
      <c r="L100" s="8"/>
      <c r="M100" s="8"/>
      <c r="N100" s="11"/>
      <c r="O100" s="8"/>
      <c r="P100" s="12"/>
      <c r="Q100" s="8"/>
      <c r="R100" s="8"/>
      <c r="S100" s="9" t="str">
        <f aca="false">IF(E100="","",IF(AND(OR(D100="Restaurante",D100="Ingresso"),OR(K100="",K100="A decidir")),"Reserva a decidir; ","")&amp;IF(AND(D100="Ingresso",K100="Não"),"Ingresso não comprado; ","")&amp;IF(AND(K100="Sim",L100=""),"Reserva sem código; ","")&amp;IF(I100="Sim","Fechado no dia; ","")&amp;IF(AND(B100&lt;&gt;"",G100&lt;&gt;"",B100&lt;G100),"Antes de abrir; ","")&amp;IF(AND(B100&lt;&gt;"",H100&lt;&gt;"",B100+C100/1440&gt;H100),"Depois de fechar; ",""))</f>
        <v/>
      </c>
    </row>
    <row r="101" customFormat="false" ht="15" hidden="false" customHeight="false" outlineLevel="0" collapsed="false">
      <c r="A101" s="7"/>
      <c r="B101" s="10"/>
      <c r="C101" s="11"/>
      <c r="D101" s="8"/>
      <c r="E101" s="8"/>
      <c r="F101" s="8"/>
      <c r="G101" s="10"/>
      <c r="H101" s="10"/>
      <c r="I101" s="8"/>
      <c r="J101" s="11"/>
      <c r="K101" s="8"/>
      <c r="L101" s="8"/>
      <c r="M101" s="8"/>
      <c r="N101" s="11"/>
      <c r="O101" s="8"/>
      <c r="P101" s="12"/>
      <c r="Q101" s="8"/>
      <c r="R101" s="8"/>
      <c r="S101" s="9" t="str">
        <f aca="false">IF(E101="","",IF(AND(OR(D101="Restaurante",D101="Ingresso"),OR(K101="",K101="A decidir")),"Reserva a decidir; ","")&amp;IF(AND(D101="Ingresso",K101="Não"),"Ingresso não comprado; ","")&amp;IF(AND(K101="Sim",L101=""),"Reserva sem código; ","")&amp;IF(I101="Sim","Fechado no dia; ","")&amp;IF(AND(B101&lt;&gt;"",G101&lt;&gt;"",B101&lt;G101),"Antes de abrir; ","")&amp;IF(AND(B101&lt;&gt;"",H101&lt;&gt;"",B101+C101/1440&gt;H101),"Depois de fechar; ",""))</f>
        <v/>
      </c>
    </row>
    <row r="102" customFormat="false" ht="15" hidden="false" customHeight="false" outlineLevel="0" collapsed="false">
      <c r="A102" s="7"/>
      <c r="B102" s="10"/>
      <c r="C102" s="11"/>
      <c r="D102" s="8"/>
      <c r="E102" s="8"/>
      <c r="F102" s="8"/>
      <c r="G102" s="10"/>
      <c r="H102" s="10"/>
      <c r="I102" s="8"/>
      <c r="J102" s="11"/>
      <c r="K102" s="8"/>
      <c r="L102" s="8"/>
      <c r="M102" s="8"/>
      <c r="N102" s="11"/>
      <c r="O102" s="8"/>
      <c r="P102" s="12"/>
      <c r="Q102" s="8"/>
      <c r="R102" s="8"/>
      <c r="S102" s="9" t="str">
        <f aca="false">IF(E102="","",IF(AND(OR(D102="Restaurante",D102="Ingresso"),OR(K102="",K102="A decidir")),"Reserva a decidir; ","")&amp;IF(AND(D102="Ingresso",K102="Não"),"Ingresso não comprado; ","")&amp;IF(AND(K102="Sim",L102=""),"Reserva sem código; ","")&amp;IF(I102="Sim","Fechado no dia; ","")&amp;IF(AND(B102&lt;&gt;"",G102&lt;&gt;"",B102&lt;G102),"Antes de abrir; ","")&amp;IF(AND(B102&lt;&gt;"",H102&lt;&gt;"",B102+C102/1440&gt;H102),"Depois de fechar; ",""))</f>
        <v/>
      </c>
    </row>
    <row r="103" customFormat="false" ht="15" hidden="false" customHeight="false" outlineLevel="0" collapsed="false">
      <c r="A103" s="7"/>
      <c r="B103" s="10"/>
      <c r="C103" s="11"/>
      <c r="D103" s="8"/>
      <c r="E103" s="8"/>
      <c r="F103" s="8"/>
      <c r="G103" s="10"/>
      <c r="H103" s="10"/>
      <c r="I103" s="8"/>
      <c r="J103" s="11"/>
      <c r="K103" s="8"/>
      <c r="L103" s="8"/>
      <c r="M103" s="8"/>
      <c r="N103" s="11"/>
      <c r="O103" s="8"/>
      <c r="P103" s="12"/>
      <c r="Q103" s="8"/>
      <c r="R103" s="8"/>
      <c r="S103" s="9" t="str">
        <f aca="false">IF(E103="","",IF(AND(OR(D103="Restaurante",D103="Ingresso"),OR(K103="",K103="A decidir")),"Reserva a decidir; ","")&amp;IF(AND(D103="Ingresso",K103="Não"),"Ingresso não comprado; ","")&amp;IF(AND(K103="Sim",L103=""),"Reserva sem código; ","")&amp;IF(I103="Sim","Fechado no dia; ","")&amp;IF(AND(B103&lt;&gt;"",G103&lt;&gt;"",B103&lt;G103),"Antes de abrir; ","")&amp;IF(AND(B103&lt;&gt;"",H103&lt;&gt;"",B103+C103/1440&gt;H103),"Depois de fechar; ",""))</f>
        <v/>
      </c>
    </row>
    <row r="104" customFormat="false" ht="15" hidden="false" customHeight="false" outlineLevel="0" collapsed="false">
      <c r="A104" s="7"/>
      <c r="B104" s="10"/>
      <c r="C104" s="11"/>
      <c r="D104" s="8"/>
      <c r="E104" s="8"/>
      <c r="F104" s="8"/>
      <c r="G104" s="10"/>
      <c r="H104" s="10"/>
      <c r="I104" s="8"/>
      <c r="J104" s="11"/>
      <c r="K104" s="8"/>
      <c r="L104" s="8"/>
      <c r="M104" s="8"/>
      <c r="N104" s="11"/>
      <c r="O104" s="8"/>
      <c r="P104" s="12"/>
      <c r="Q104" s="8"/>
      <c r="R104" s="8"/>
      <c r="S104" s="9" t="str">
        <f aca="false">IF(E104="","",IF(AND(OR(D104="Restaurante",D104="Ingresso"),OR(K104="",K104="A decidir")),"Reserva a decidir; ","")&amp;IF(AND(D104="Ingresso",K104="Não"),"Ingresso não comprado; ","")&amp;IF(AND(K104="Sim",L104=""),"Reserva sem código; ","")&amp;IF(I104="Sim","Fechado no dia; ","")&amp;IF(AND(B104&lt;&gt;"",G104&lt;&gt;"",B104&lt;G104),"Antes de abrir; ","")&amp;IF(AND(B104&lt;&gt;"",H104&lt;&gt;"",B104+C104/1440&gt;H104),"Depois de fechar; ",""))</f>
        <v/>
      </c>
    </row>
    <row r="105" customFormat="false" ht="15" hidden="false" customHeight="false" outlineLevel="0" collapsed="false">
      <c r="A105" s="7"/>
      <c r="B105" s="10"/>
      <c r="C105" s="11"/>
      <c r="D105" s="8"/>
      <c r="E105" s="8"/>
      <c r="F105" s="8"/>
      <c r="G105" s="10"/>
      <c r="H105" s="10"/>
      <c r="I105" s="8"/>
      <c r="J105" s="11"/>
      <c r="K105" s="8"/>
      <c r="L105" s="8"/>
      <c r="M105" s="8"/>
      <c r="N105" s="11"/>
      <c r="O105" s="8"/>
      <c r="P105" s="12"/>
      <c r="Q105" s="8"/>
      <c r="R105" s="8"/>
      <c r="S105" s="9" t="str">
        <f aca="false">IF(E105="","",IF(AND(OR(D105="Restaurante",D105="Ingresso"),OR(K105="",K105="A decidir")),"Reserva a decidir; ","")&amp;IF(AND(D105="Ingresso",K105="Não"),"Ingresso não comprado; ","")&amp;IF(AND(K105="Sim",L105=""),"Reserva sem código; ","")&amp;IF(I105="Sim","Fechado no dia; ","")&amp;IF(AND(B105&lt;&gt;"",G105&lt;&gt;"",B105&lt;G105),"Antes de abrir; ","")&amp;IF(AND(B105&lt;&gt;"",H105&lt;&gt;"",B105+C105/1440&gt;H105),"Depois de fechar; ",""))</f>
        <v/>
      </c>
    </row>
    <row r="106" customFormat="false" ht="15" hidden="false" customHeight="false" outlineLevel="0" collapsed="false">
      <c r="A106" s="7"/>
      <c r="B106" s="10"/>
      <c r="C106" s="11"/>
      <c r="D106" s="8"/>
      <c r="E106" s="8"/>
      <c r="F106" s="8"/>
      <c r="G106" s="10"/>
      <c r="H106" s="10"/>
      <c r="I106" s="8"/>
      <c r="J106" s="11"/>
      <c r="K106" s="8"/>
      <c r="L106" s="8"/>
      <c r="M106" s="8"/>
      <c r="N106" s="11"/>
      <c r="O106" s="8"/>
      <c r="P106" s="12"/>
      <c r="Q106" s="8"/>
      <c r="R106" s="8"/>
      <c r="S106" s="9" t="str">
        <f aca="false">IF(E106="","",IF(AND(OR(D106="Restaurante",D106="Ingresso"),OR(K106="",K106="A decidir")),"Reserva a decidir; ","")&amp;IF(AND(D106="Ingresso",K106="Não"),"Ingresso não comprado; ","")&amp;IF(AND(K106="Sim",L106=""),"Reserva sem código; ","")&amp;IF(I106="Sim","Fechado no dia; ","")&amp;IF(AND(B106&lt;&gt;"",G106&lt;&gt;"",B106&lt;G106),"Antes de abrir; ","")&amp;IF(AND(B106&lt;&gt;"",H106&lt;&gt;"",B106+C106/1440&gt;H106),"Depois de fechar; ",""))</f>
        <v/>
      </c>
    </row>
    <row r="107" customFormat="false" ht="15" hidden="false" customHeight="false" outlineLevel="0" collapsed="false">
      <c r="A107" s="7"/>
      <c r="B107" s="10"/>
      <c r="C107" s="11"/>
      <c r="D107" s="8"/>
      <c r="E107" s="8"/>
      <c r="F107" s="8"/>
      <c r="G107" s="10"/>
      <c r="H107" s="10"/>
      <c r="I107" s="8"/>
      <c r="J107" s="11"/>
      <c r="K107" s="8"/>
      <c r="L107" s="8"/>
      <c r="M107" s="8"/>
      <c r="N107" s="11"/>
      <c r="O107" s="8"/>
      <c r="P107" s="12"/>
      <c r="Q107" s="8"/>
      <c r="R107" s="8"/>
      <c r="S107" s="9" t="str">
        <f aca="false">IF(E107="","",IF(AND(OR(D107="Restaurante",D107="Ingresso"),OR(K107="",K107="A decidir")),"Reserva a decidir; ","")&amp;IF(AND(D107="Ingresso",K107="Não"),"Ingresso não comprado; ","")&amp;IF(AND(K107="Sim",L107=""),"Reserva sem código; ","")&amp;IF(I107="Sim","Fechado no dia; ","")&amp;IF(AND(B107&lt;&gt;"",G107&lt;&gt;"",B107&lt;G107),"Antes de abrir; ","")&amp;IF(AND(B107&lt;&gt;"",H107&lt;&gt;"",B107+C107/1440&gt;H107),"Depois de fechar; ",""))</f>
        <v/>
      </c>
    </row>
    <row r="108" customFormat="false" ht="15" hidden="false" customHeight="false" outlineLevel="0" collapsed="false">
      <c r="A108" s="7"/>
      <c r="B108" s="10"/>
      <c r="C108" s="11"/>
      <c r="D108" s="8"/>
      <c r="E108" s="8"/>
      <c r="F108" s="8"/>
      <c r="G108" s="10"/>
      <c r="H108" s="10"/>
      <c r="I108" s="8"/>
      <c r="J108" s="11"/>
      <c r="K108" s="8"/>
      <c r="L108" s="8"/>
      <c r="M108" s="8"/>
      <c r="N108" s="11"/>
      <c r="O108" s="8"/>
      <c r="P108" s="12"/>
      <c r="Q108" s="8"/>
      <c r="R108" s="8"/>
      <c r="S108" s="9" t="str">
        <f aca="false">IF(E108="","",IF(AND(OR(D108="Restaurante",D108="Ingresso"),OR(K108="",K108="A decidir")),"Reserva a decidir; ","")&amp;IF(AND(D108="Ingresso",K108="Não"),"Ingresso não comprado; ","")&amp;IF(AND(K108="Sim",L108=""),"Reserva sem código; ","")&amp;IF(I108="Sim","Fechado no dia; ","")&amp;IF(AND(B108&lt;&gt;"",G108&lt;&gt;"",B108&lt;G108),"Antes de abrir; ","")&amp;IF(AND(B108&lt;&gt;"",H108&lt;&gt;"",B108+C108/1440&gt;H108),"Depois de fechar; ",""))</f>
        <v/>
      </c>
    </row>
    <row r="109" customFormat="false" ht="15" hidden="false" customHeight="false" outlineLevel="0" collapsed="false">
      <c r="A109" s="7"/>
      <c r="B109" s="10"/>
      <c r="C109" s="11"/>
      <c r="D109" s="8"/>
      <c r="E109" s="8"/>
      <c r="F109" s="8"/>
      <c r="G109" s="10"/>
      <c r="H109" s="10"/>
      <c r="I109" s="8"/>
      <c r="J109" s="11"/>
      <c r="K109" s="8"/>
      <c r="L109" s="8"/>
      <c r="M109" s="8"/>
      <c r="N109" s="11"/>
      <c r="O109" s="8"/>
      <c r="P109" s="12"/>
      <c r="Q109" s="8"/>
      <c r="R109" s="8"/>
      <c r="S109" s="9" t="str">
        <f aca="false">IF(E109="","",IF(AND(OR(D109="Restaurante",D109="Ingresso"),OR(K109="",K109="A decidir")),"Reserva a decidir; ","")&amp;IF(AND(D109="Ingresso",K109="Não"),"Ingresso não comprado; ","")&amp;IF(AND(K109="Sim",L109=""),"Reserva sem código; ","")&amp;IF(I109="Sim","Fechado no dia; ","")&amp;IF(AND(B109&lt;&gt;"",G109&lt;&gt;"",B109&lt;G109),"Antes de abrir; ","")&amp;IF(AND(B109&lt;&gt;"",H109&lt;&gt;"",B109+C109/1440&gt;H109),"Depois de fechar; ",""))</f>
        <v/>
      </c>
    </row>
    <row r="110" customFormat="false" ht="15" hidden="false" customHeight="false" outlineLevel="0" collapsed="false">
      <c r="A110" s="7"/>
      <c r="B110" s="10"/>
      <c r="C110" s="11"/>
      <c r="D110" s="8"/>
      <c r="E110" s="8"/>
      <c r="F110" s="8"/>
      <c r="G110" s="10"/>
      <c r="H110" s="10"/>
      <c r="I110" s="8"/>
      <c r="J110" s="11"/>
      <c r="K110" s="8"/>
      <c r="L110" s="8"/>
      <c r="M110" s="8"/>
      <c r="N110" s="11"/>
      <c r="O110" s="8"/>
      <c r="P110" s="12"/>
      <c r="Q110" s="8"/>
      <c r="R110" s="8"/>
      <c r="S110" s="9" t="str">
        <f aca="false">IF(E110="","",IF(AND(OR(D110="Restaurante",D110="Ingresso"),OR(K110="",K110="A decidir")),"Reserva a decidir; ","")&amp;IF(AND(D110="Ingresso",K110="Não"),"Ingresso não comprado; ","")&amp;IF(AND(K110="Sim",L110=""),"Reserva sem código; ","")&amp;IF(I110="Sim","Fechado no dia; ","")&amp;IF(AND(B110&lt;&gt;"",G110&lt;&gt;"",B110&lt;G110),"Antes de abrir; ","")&amp;IF(AND(B110&lt;&gt;"",H110&lt;&gt;"",B110+C110/1440&gt;H110),"Depois de fechar; ",""))</f>
        <v/>
      </c>
    </row>
    <row r="111" customFormat="false" ht="15" hidden="false" customHeight="false" outlineLevel="0" collapsed="false">
      <c r="A111" s="7"/>
      <c r="B111" s="10"/>
      <c r="C111" s="11"/>
      <c r="D111" s="8"/>
      <c r="E111" s="8"/>
      <c r="F111" s="8"/>
      <c r="G111" s="10"/>
      <c r="H111" s="10"/>
      <c r="I111" s="8"/>
      <c r="J111" s="11"/>
      <c r="K111" s="8"/>
      <c r="L111" s="8"/>
      <c r="M111" s="8"/>
      <c r="N111" s="11"/>
      <c r="O111" s="8"/>
      <c r="P111" s="12"/>
      <c r="Q111" s="8"/>
      <c r="R111" s="8"/>
      <c r="S111" s="9" t="str">
        <f aca="false">IF(E111="","",IF(AND(OR(D111="Restaurante",D111="Ingresso"),OR(K111="",K111="A decidir")),"Reserva a decidir; ","")&amp;IF(AND(D111="Ingresso",K111="Não"),"Ingresso não comprado; ","")&amp;IF(AND(K111="Sim",L111=""),"Reserva sem código; ","")&amp;IF(I111="Sim","Fechado no dia; ","")&amp;IF(AND(B111&lt;&gt;"",G111&lt;&gt;"",B111&lt;G111),"Antes de abrir; ","")&amp;IF(AND(B111&lt;&gt;"",H111&lt;&gt;"",B111+C111/1440&gt;H111),"Depois de fechar; ",""))</f>
        <v/>
      </c>
    </row>
    <row r="112" customFormat="false" ht="15" hidden="false" customHeight="false" outlineLevel="0" collapsed="false">
      <c r="A112" s="7"/>
      <c r="B112" s="10"/>
      <c r="C112" s="11"/>
      <c r="D112" s="8"/>
      <c r="E112" s="8"/>
      <c r="F112" s="8"/>
      <c r="G112" s="10"/>
      <c r="H112" s="10"/>
      <c r="I112" s="8"/>
      <c r="J112" s="11"/>
      <c r="K112" s="8"/>
      <c r="L112" s="8"/>
      <c r="M112" s="8"/>
      <c r="N112" s="11"/>
      <c r="O112" s="8"/>
      <c r="P112" s="12"/>
      <c r="Q112" s="8"/>
      <c r="R112" s="8"/>
      <c r="S112" s="9" t="str">
        <f aca="false">IF(E112="","",IF(AND(OR(D112="Restaurante",D112="Ingresso"),OR(K112="",K112="A decidir")),"Reserva a decidir; ","")&amp;IF(AND(D112="Ingresso",K112="Não"),"Ingresso não comprado; ","")&amp;IF(AND(K112="Sim",L112=""),"Reserva sem código; ","")&amp;IF(I112="Sim","Fechado no dia; ","")&amp;IF(AND(B112&lt;&gt;"",G112&lt;&gt;"",B112&lt;G112),"Antes de abrir; ","")&amp;IF(AND(B112&lt;&gt;"",H112&lt;&gt;"",B112+C112/1440&gt;H112),"Depois de fechar; ",""))</f>
        <v/>
      </c>
    </row>
    <row r="113" customFormat="false" ht="15" hidden="false" customHeight="false" outlineLevel="0" collapsed="false">
      <c r="A113" s="7"/>
      <c r="B113" s="10"/>
      <c r="C113" s="11"/>
      <c r="D113" s="8"/>
      <c r="E113" s="8"/>
      <c r="F113" s="8"/>
      <c r="G113" s="10"/>
      <c r="H113" s="10"/>
      <c r="I113" s="8"/>
      <c r="J113" s="11"/>
      <c r="K113" s="8"/>
      <c r="L113" s="8"/>
      <c r="M113" s="8"/>
      <c r="N113" s="11"/>
      <c r="O113" s="8"/>
      <c r="P113" s="12"/>
      <c r="Q113" s="8"/>
      <c r="R113" s="8"/>
      <c r="S113" s="9" t="str">
        <f aca="false">IF(E113="","",IF(AND(OR(D113="Restaurante",D113="Ingresso"),OR(K113="",K113="A decidir")),"Reserva a decidir; ","")&amp;IF(AND(D113="Ingresso",K113="Não"),"Ingresso não comprado; ","")&amp;IF(AND(K113="Sim",L113=""),"Reserva sem código; ","")&amp;IF(I113="Sim","Fechado no dia; ","")&amp;IF(AND(B113&lt;&gt;"",G113&lt;&gt;"",B113&lt;G113),"Antes de abrir; ","")&amp;IF(AND(B113&lt;&gt;"",H113&lt;&gt;"",B113+C113/1440&gt;H113),"Depois de fechar; ",""))</f>
        <v/>
      </c>
    </row>
    <row r="114" customFormat="false" ht="15" hidden="false" customHeight="false" outlineLevel="0" collapsed="false">
      <c r="A114" s="7"/>
      <c r="B114" s="10"/>
      <c r="C114" s="11"/>
      <c r="D114" s="8"/>
      <c r="E114" s="8"/>
      <c r="F114" s="8"/>
      <c r="G114" s="10"/>
      <c r="H114" s="10"/>
      <c r="I114" s="8"/>
      <c r="J114" s="11"/>
      <c r="K114" s="8"/>
      <c r="L114" s="8"/>
      <c r="M114" s="8"/>
      <c r="N114" s="11"/>
      <c r="O114" s="8"/>
      <c r="P114" s="12"/>
      <c r="Q114" s="8"/>
      <c r="R114" s="8"/>
      <c r="S114" s="9" t="str">
        <f aca="false">IF(E114="","",IF(AND(OR(D114="Restaurante",D114="Ingresso"),OR(K114="",K114="A decidir")),"Reserva a decidir; ","")&amp;IF(AND(D114="Ingresso",K114="Não"),"Ingresso não comprado; ","")&amp;IF(AND(K114="Sim",L114=""),"Reserva sem código; ","")&amp;IF(I114="Sim","Fechado no dia; ","")&amp;IF(AND(B114&lt;&gt;"",G114&lt;&gt;"",B114&lt;G114),"Antes de abrir; ","")&amp;IF(AND(B114&lt;&gt;"",H114&lt;&gt;"",B114+C114/1440&gt;H114),"Depois de fechar; ",""))</f>
        <v/>
      </c>
    </row>
    <row r="115" customFormat="false" ht="15" hidden="false" customHeight="false" outlineLevel="0" collapsed="false">
      <c r="A115" s="7"/>
      <c r="B115" s="10"/>
      <c r="C115" s="11"/>
      <c r="D115" s="8"/>
      <c r="E115" s="8"/>
      <c r="F115" s="8"/>
      <c r="G115" s="10"/>
      <c r="H115" s="10"/>
      <c r="I115" s="8"/>
      <c r="J115" s="11"/>
      <c r="K115" s="8"/>
      <c r="L115" s="8"/>
      <c r="M115" s="8"/>
      <c r="N115" s="11"/>
      <c r="O115" s="8"/>
      <c r="P115" s="12"/>
      <c r="Q115" s="8"/>
      <c r="R115" s="8"/>
      <c r="S115" s="9" t="str">
        <f aca="false">IF(E115="","",IF(AND(OR(D115="Restaurante",D115="Ingresso"),OR(K115="",K115="A decidir")),"Reserva a decidir; ","")&amp;IF(AND(D115="Ingresso",K115="Não"),"Ingresso não comprado; ","")&amp;IF(AND(K115="Sim",L115=""),"Reserva sem código; ","")&amp;IF(I115="Sim","Fechado no dia; ","")&amp;IF(AND(B115&lt;&gt;"",G115&lt;&gt;"",B115&lt;G115),"Antes de abrir; ","")&amp;IF(AND(B115&lt;&gt;"",H115&lt;&gt;"",B115+C115/1440&gt;H115),"Depois de fechar; ",""))</f>
        <v/>
      </c>
    </row>
    <row r="116" customFormat="false" ht="15" hidden="false" customHeight="false" outlineLevel="0" collapsed="false">
      <c r="A116" s="7"/>
      <c r="B116" s="10"/>
      <c r="C116" s="11"/>
      <c r="D116" s="8"/>
      <c r="E116" s="8"/>
      <c r="F116" s="8"/>
      <c r="G116" s="10"/>
      <c r="H116" s="10"/>
      <c r="I116" s="8"/>
      <c r="J116" s="11"/>
      <c r="K116" s="8"/>
      <c r="L116" s="8"/>
      <c r="M116" s="8"/>
      <c r="N116" s="11"/>
      <c r="O116" s="8"/>
      <c r="P116" s="12"/>
      <c r="Q116" s="8"/>
      <c r="R116" s="8"/>
      <c r="S116" s="9" t="str">
        <f aca="false">IF(E116="","",IF(AND(OR(D116="Restaurante",D116="Ingresso"),OR(K116="",K116="A decidir")),"Reserva a decidir; ","")&amp;IF(AND(D116="Ingresso",K116="Não"),"Ingresso não comprado; ","")&amp;IF(AND(K116="Sim",L116=""),"Reserva sem código; ","")&amp;IF(I116="Sim","Fechado no dia; ","")&amp;IF(AND(B116&lt;&gt;"",G116&lt;&gt;"",B116&lt;G116),"Antes de abrir; ","")&amp;IF(AND(B116&lt;&gt;"",H116&lt;&gt;"",B116+C116/1440&gt;H116),"Depois de fechar; ",""))</f>
        <v/>
      </c>
    </row>
    <row r="117" customFormat="false" ht="15" hidden="false" customHeight="false" outlineLevel="0" collapsed="false">
      <c r="A117" s="7"/>
      <c r="B117" s="10"/>
      <c r="C117" s="11"/>
      <c r="D117" s="8"/>
      <c r="E117" s="8"/>
      <c r="F117" s="8"/>
      <c r="G117" s="10"/>
      <c r="H117" s="10"/>
      <c r="I117" s="8"/>
      <c r="J117" s="11"/>
      <c r="K117" s="8"/>
      <c r="L117" s="8"/>
      <c r="M117" s="8"/>
      <c r="N117" s="11"/>
      <c r="O117" s="8"/>
      <c r="P117" s="12"/>
      <c r="Q117" s="8"/>
      <c r="R117" s="8"/>
      <c r="S117" s="9" t="str">
        <f aca="false">IF(E117="","",IF(AND(OR(D117="Restaurante",D117="Ingresso"),OR(K117="",K117="A decidir")),"Reserva a decidir; ","")&amp;IF(AND(D117="Ingresso",K117="Não"),"Ingresso não comprado; ","")&amp;IF(AND(K117="Sim",L117=""),"Reserva sem código; ","")&amp;IF(I117="Sim","Fechado no dia; ","")&amp;IF(AND(B117&lt;&gt;"",G117&lt;&gt;"",B117&lt;G117),"Antes de abrir; ","")&amp;IF(AND(B117&lt;&gt;"",H117&lt;&gt;"",B117+C117/1440&gt;H117),"Depois de fechar; ",""))</f>
        <v/>
      </c>
    </row>
    <row r="118" customFormat="false" ht="15" hidden="false" customHeight="false" outlineLevel="0" collapsed="false">
      <c r="A118" s="7"/>
      <c r="B118" s="10"/>
      <c r="C118" s="11"/>
      <c r="D118" s="8"/>
      <c r="E118" s="8"/>
      <c r="F118" s="8"/>
      <c r="G118" s="10"/>
      <c r="H118" s="10"/>
      <c r="I118" s="8"/>
      <c r="J118" s="11"/>
      <c r="K118" s="8"/>
      <c r="L118" s="8"/>
      <c r="M118" s="8"/>
      <c r="N118" s="11"/>
      <c r="O118" s="8"/>
      <c r="P118" s="12"/>
      <c r="Q118" s="8"/>
      <c r="R118" s="8"/>
      <c r="S118" s="9" t="str">
        <f aca="false">IF(E118="","",IF(AND(OR(D118="Restaurante",D118="Ingresso"),OR(K118="",K118="A decidir")),"Reserva a decidir; ","")&amp;IF(AND(D118="Ingresso",K118="Não"),"Ingresso não comprado; ","")&amp;IF(AND(K118="Sim",L118=""),"Reserva sem código; ","")&amp;IF(I118="Sim","Fechado no dia; ","")&amp;IF(AND(B118&lt;&gt;"",G118&lt;&gt;"",B118&lt;G118),"Antes de abrir; ","")&amp;IF(AND(B118&lt;&gt;"",H118&lt;&gt;"",B118+C118/1440&gt;H118),"Depois de fechar; ",""))</f>
        <v/>
      </c>
    </row>
    <row r="119" customFormat="false" ht="15" hidden="false" customHeight="false" outlineLevel="0" collapsed="false">
      <c r="A119" s="7"/>
      <c r="B119" s="10"/>
      <c r="C119" s="11"/>
      <c r="D119" s="8"/>
      <c r="E119" s="8"/>
      <c r="F119" s="8"/>
      <c r="G119" s="10"/>
      <c r="H119" s="10"/>
      <c r="I119" s="8"/>
      <c r="J119" s="11"/>
      <c r="K119" s="8"/>
      <c r="L119" s="8"/>
      <c r="M119" s="8"/>
      <c r="N119" s="11"/>
      <c r="O119" s="8"/>
      <c r="P119" s="12"/>
      <c r="Q119" s="8"/>
      <c r="R119" s="8"/>
      <c r="S119" s="9" t="str">
        <f aca="false">IF(E119="","",IF(AND(OR(D119="Restaurante",D119="Ingresso"),OR(K119="",K119="A decidir")),"Reserva a decidir; ","")&amp;IF(AND(D119="Ingresso",K119="Não"),"Ingresso não comprado; ","")&amp;IF(AND(K119="Sim",L119=""),"Reserva sem código; ","")&amp;IF(I119="Sim","Fechado no dia; ","")&amp;IF(AND(B119&lt;&gt;"",G119&lt;&gt;"",B119&lt;G119),"Antes de abrir; ","")&amp;IF(AND(B119&lt;&gt;"",H119&lt;&gt;"",B119+C119/1440&gt;H119),"Depois de fechar; ",""))</f>
        <v/>
      </c>
    </row>
    <row r="120" customFormat="false" ht="15" hidden="false" customHeight="false" outlineLevel="0" collapsed="false">
      <c r="A120" s="7"/>
      <c r="B120" s="10"/>
      <c r="C120" s="11"/>
      <c r="D120" s="8"/>
      <c r="E120" s="8"/>
      <c r="F120" s="8"/>
      <c r="G120" s="10"/>
      <c r="H120" s="10"/>
      <c r="I120" s="8"/>
      <c r="J120" s="11"/>
      <c r="K120" s="8"/>
      <c r="L120" s="8"/>
      <c r="M120" s="8"/>
      <c r="N120" s="11"/>
      <c r="O120" s="8"/>
      <c r="P120" s="12"/>
      <c r="Q120" s="8"/>
      <c r="R120" s="8"/>
      <c r="S120" s="9" t="str">
        <f aca="false">IF(E120="","",IF(AND(OR(D120="Restaurante",D120="Ingresso"),OR(K120="",K120="A decidir")),"Reserva a decidir; ","")&amp;IF(AND(D120="Ingresso",K120="Não"),"Ingresso não comprado; ","")&amp;IF(AND(K120="Sim",L120=""),"Reserva sem código; ","")&amp;IF(I120="Sim","Fechado no dia; ","")&amp;IF(AND(B120&lt;&gt;"",G120&lt;&gt;"",B120&lt;G120),"Antes de abrir; ","")&amp;IF(AND(B120&lt;&gt;"",H120&lt;&gt;"",B120+C120/1440&gt;H120),"Depois de fechar; ",""))</f>
        <v/>
      </c>
    </row>
    <row r="121" customFormat="false" ht="15" hidden="false" customHeight="false" outlineLevel="0" collapsed="false">
      <c r="A121" s="7"/>
      <c r="B121" s="10"/>
      <c r="C121" s="11"/>
      <c r="D121" s="8"/>
      <c r="E121" s="8"/>
      <c r="F121" s="8"/>
      <c r="G121" s="10"/>
      <c r="H121" s="10"/>
      <c r="I121" s="8"/>
      <c r="J121" s="11"/>
      <c r="K121" s="8"/>
      <c r="L121" s="8"/>
      <c r="M121" s="8"/>
      <c r="N121" s="11"/>
      <c r="O121" s="8"/>
      <c r="P121" s="12"/>
      <c r="Q121" s="8"/>
      <c r="R121" s="8"/>
      <c r="S121" s="9" t="str">
        <f aca="false">IF(E121="","",IF(AND(OR(D121="Restaurante",D121="Ingresso"),OR(K121="",K121="A decidir")),"Reserva a decidir; ","")&amp;IF(AND(D121="Ingresso",K121="Não"),"Ingresso não comprado; ","")&amp;IF(AND(K121="Sim",L121=""),"Reserva sem código; ","")&amp;IF(I121="Sim","Fechado no dia; ","")&amp;IF(AND(B121&lt;&gt;"",G121&lt;&gt;"",B121&lt;G121),"Antes de abrir; ","")&amp;IF(AND(B121&lt;&gt;"",H121&lt;&gt;"",B121+C121/1440&gt;H121),"Depois de fechar; ",""))</f>
        <v/>
      </c>
    </row>
    <row r="122" customFormat="false" ht="15" hidden="false" customHeight="false" outlineLevel="0" collapsed="false">
      <c r="A122" s="7"/>
      <c r="B122" s="10"/>
      <c r="C122" s="11"/>
      <c r="D122" s="8"/>
      <c r="E122" s="8"/>
      <c r="F122" s="8"/>
      <c r="G122" s="10"/>
      <c r="H122" s="10"/>
      <c r="I122" s="8"/>
      <c r="J122" s="11"/>
      <c r="K122" s="8"/>
      <c r="L122" s="8"/>
      <c r="M122" s="8"/>
      <c r="N122" s="11"/>
      <c r="O122" s="8"/>
      <c r="P122" s="12"/>
      <c r="Q122" s="8"/>
      <c r="R122" s="8"/>
      <c r="S122" s="9" t="str">
        <f aca="false">IF(E122="","",IF(AND(OR(D122="Restaurante",D122="Ingresso"),OR(K122="",K122="A decidir")),"Reserva a decidir; ","")&amp;IF(AND(D122="Ingresso",K122="Não"),"Ingresso não comprado; ","")&amp;IF(AND(K122="Sim",L122=""),"Reserva sem código; ","")&amp;IF(I122="Sim","Fechado no dia; ","")&amp;IF(AND(B122&lt;&gt;"",G122&lt;&gt;"",B122&lt;G122),"Antes de abrir; ","")&amp;IF(AND(B122&lt;&gt;"",H122&lt;&gt;"",B122+C122/1440&gt;H122),"Depois de fechar; ",""))</f>
        <v/>
      </c>
    </row>
    <row r="123" customFormat="false" ht="15" hidden="false" customHeight="false" outlineLevel="0" collapsed="false">
      <c r="A123" s="7"/>
      <c r="B123" s="10"/>
      <c r="C123" s="11"/>
      <c r="D123" s="8"/>
      <c r="E123" s="8"/>
      <c r="F123" s="8"/>
      <c r="G123" s="10"/>
      <c r="H123" s="10"/>
      <c r="I123" s="8"/>
      <c r="J123" s="11"/>
      <c r="K123" s="8"/>
      <c r="L123" s="8"/>
      <c r="M123" s="8"/>
      <c r="N123" s="11"/>
      <c r="O123" s="8"/>
      <c r="P123" s="12"/>
      <c r="Q123" s="8"/>
      <c r="R123" s="8"/>
      <c r="S123" s="9" t="str">
        <f aca="false">IF(E123="","",IF(AND(OR(D123="Restaurante",D123="Ingresso"),OR(K123="",K123="A decidir")),"Reserva a decidir; ","")&amp;IF(AND(D123="Ingresso",K123="Não"),"Ingresso não comprado; ","")&amp;IF(AND(K123="Sim",L123=""),"Reserva sem código; ","")&amp;IF(I123="Sim","Fechado no dia; ","")&amp;IF(AND(B123&lt;&gt;"",G123&lt;&gt;"",B123&lt;G123),"Antes de abrir; ","")&amp;IF(AND(B123&lt;&gt;"",H123&lt;&gt;"",B123+C123/1440&gt;H123),"Depois de fechar; ",""))</f>
        <v/>
      </c>
    </row>
    <row r="124" customFormat="false" ht="15" hidden="false" customHeight="false" outlineLevel="0" collapsed="false">
      <c r="A124" s="7"/>
      <c r="B124" s="10"/>
      <c r="C124" s="11"/>
      <c r="D124" s="8"/>
      <c r="E124" s="8"/>
      <c r="F124" s="8"/>
      <c r="G124" s="10"/>
      <c r="H124" s="10"/>
      <c r="I124" s="8"/>
      <c r="J124" s="11"/>
      <c r="K124" s="8"/>
      <c r="L124" s="8"/>
      <c r="M124" s="8"/>
      <c r="N124" s="11"/>
      <c r="O124" s="8"/>
      <c r="P124" s="12"/>
      <c r="Q124" s="8"/>
      <c r="R124" s="8"/>
      <c r="S124" s="9" t="str">
        <f aca="false">IF(E124="","",IF(AND(OR(D124="Restaurante",D124="Ingresso"),OR(K124="",K124="A decidir")),"Reserva a decidir; ","")&amp;IF(AND(D124="Ingresso",K124="Não"),"Ingresso não comprado; ","")&amp;IF(AND(K124="Sim",L124=""),"Reserva sem código; ","")&amp;IF(I124="Sim","Fechado no dia; ","")&amp;IF(AND(B124&lt;&gt;"",G124&lt;&gt;"",B124&lt;G124),"Antes de abrir; ","")&amp;IF(AND(B124&lt;&gt;"",H124&lt;&gt;"",B124+C124/1440&gt;H124),"Depois de fechar; ",""))</f>
        <v/>
      </c>
    </row>
    <row r="125" customFormat="false" ht="15" hidden="false" customHeight="false" outlineLevel="0" collapsed="false">
      <c r="A125" s="7"/>
      <c r="B125" s="10"/>
      <c r="C125" s="11"/>
      <c r="D125" s="8"/>
      <c r="E125" s="8"/>
      <c r="F125" s="8"/>
      <c r="G125" s="10"/>
      <c r="H125" s="10"/>
      <c r="I125" s="8"/>
      <c r="J125" s="11"/>
      <c r="K125" s="8"/>
      <c r="L125" s="8"/>
      <c r="M125" s="8"/>
      <c r="N125" s="11"/>
      <c r="O125" s="8"/>
      <c r="P125" s="12"/>
      <c r="Q125" s="8"/>
      <c r="R125" s="8"/>
      <c r="S125" s="9" t="str">
        <f aca="false">IF(E125="","",IF(AND(OR(D125="Restaurante",D125="Ingresso"),OR(K125="",K125="A decidir")),"Reserva a decidir; ","")&amp;IF(AND(D125="Ingresso",K125="Não"),"Ingresso não comprado; ","")&amp;IF(AND(K125="Sim",L125=""),"Reserva sem código; ","")&amp;IF(I125="Sim","Fechado no dia; ","")&amp;IF(AND(B125&lt;&gt;"",G125&lt;&gt;"",B125&lt;G125),"Antes de abrir; ","")&amp;IF(AND(B125&lt;&gt;"",H125&lt;&gt;"",B125+C125/1440&gt;H125),"Depois de fechar; ",""))</f>
        <v/>
      </c>
    </row>
    <row r="126" customFormat="false" ht="15" hidden="false" customHeight="false" outlineLevel="0" collapsed="false">
      <c r="A126" s="7"/>
      <c r="B126" s="10"/>
      <c r="C126" s="11"/>
      <c r="D126" s="8"/>
      <c r="E126" s="8"/>
      <c r="F126" s="8"/>
      <c r="G126" s="10"/>
      <c r="H126" s="10"/>
      <c r="I126" s="8"/>
      <c r="J126" s="11"/>
      <c r="K126" s="8"/>
      <c r="L126" s="8"/>
      <c r="M126" s="8"/>
      <c r="N126" s="11"/>
      <c r="O126" s="8"/>
      <c r="P126" s="12"/>
      <c r="Q126" s="8"/>
      <c r="R126" s="8"/>
      <c r="S126" s="9" t="str">
        <f aca="false">IF(E126="","",IF(AND(OR(D126="Restaurante",D126="Ingresso"),OR(K126="",K126="A decidir")),"Reserva a decidir; ","")&amp;IF(AND(D126="Ingresso",K126="Não"),"Ingresso não comprado; ","")&amp;IF(AND(K126="Sim",L126=""),"Reserva sem código; ","")&amp;IF(I126="Sim","Fechado no dia; ","")&amp;IF(AND(B126&lt;&gt;"",G126&lt;&gt;"",B126&lt;G126),"Antes de abrir; ","")&amp;IF(AND(B126&lt;&gt;"",H126&lt;&gt;"",B126+C126/1440&gt;H126),"Depois de fechar; ",""))</f>
        <v/>
      </c>
    </row>
    <row r="127" customFormat="false" ht="15" hidden="false" customHeight="false" outlineLevel="0" collapsed="false">
      <c r="A127" s="7"/>
      <c r="B127" s="10"/>
      <c r="C127" s="11"/>
      <c r="D127" s="8"/>
      <c r="E127" s="8"/>
      <c r="F127" s="8"/>
      <c r="G127" s="10"/>
      <c r="H127" s="10"/>
      <c r="I127" s="8"/>
      <c r="J127" s="11"/>
      <c r="K127" s="8"/>
      <c r="L127" s="8"/>
      <c r="M127" s="8"/>
      <c r="N127" s="11"/>
      <c r="O127" s="8"/>
      <c r="P127" s="12"/>
      <c r="Q127" s="8"/>
      <c r="R127" s="8"/>
      <c r="S127" s="9" t="str">
        <f aca="false">IF(E127="","",IF(AND(OR(D127="Restaurante",D127="Ingresso"),OR(K127="",K127="A decidir")),"Reserva a decidir; ","")&amp;IF(AND(D127="Ingresso",K127="Não"),"Ingresso não comprado; ","")&amp;IF(AND(K127="Sim",L127=""),"Reserva sem código; ","")&amp;IF(I127="Sim","Fechado no dia; ","")&amp;IF(AND(B127&lt;&gt;"",G127&lt;&gt;"",B127&lt;G127),"Antes de abrir; ","")&amp;IF(AND(B127&lt;&gt;"",H127&lt;&gt;"",B127+C127/1440&gt;H127),"Depois de fechar; ",""))</f>
        <v/>
      </c>
    </row>
    <row r="128" customFormat="false" ht="15" hidden="false" customHeight="false" outlineLevel="0" collapsed="false">
      <c r="A128" s="7"/>
      <c r="B128" s="10"/>
      <c r="C128" s="11"/>
      <c r="D128" s="8"/>
      <c r="E128" s="8"/>
      <c r="F128" s="8"/>
      <c r="G128" s="10"/>
      <c r="H128" s="10"/>
      <c r="I128" s="8"/>
      <c r="J128" s="11"/>
      <c r="K128" s="8"/>
      <c r="L128" s="8"/>
      <c r="M128" s="8"/>
      <c r="N128" s="11"/>
      <c r="O128" s="8"/>
      <c r="P128" s="12"/>
      <c r="Q128" s="8"/>
      <c r="R128" s="8"/>
      <c r="S128" s="9" t="str">
        <f aca="false">IF(E128="","",IF(AND(OR(D128="Restaurante",D128="Ingresso"),OR(K128="",K128="A decidir")),"Reserva a decidir; ","")&amp;IF(AND(D128="Ingresso",K128="Não"),"Ingresso não comprado; ","")&amp;IF(AND(K128="Sim",L128=""),"Reserva sem código; ","")&amp;IF(I128="Sim","Fechado no dia; ","")&amp;IF(AND(B128&lt;&gt;"",G128&lt;&gt;"",B128&lt;G128),"Antes de abrir; ","")&amp;IF(AND(B128&lt;&gt;"",H128&lt;&gt;"",B128+C128/1440&gt;H128),"Depois de fechar; ",""))</f>
        <v/>
      </c>
    </row>
    <row r="129" customFormat="false" ht="15" hidden="false" customHeight="false" outlineLevel="0" collapsed="false">
      <c r="A129" s="7"/>
      <c r="B129" s="10"/>
      <c r="C129" s="11"/>
      <c r="D129" s="8"/>
      <c r="E129" s="8"/>
      <c r="F129" s="8"/>
      <c r="G129" s="10"/>
      <c r="H129" s="10"/>
      <c r="I129" s="8"/>
      <c r="J129" s="11"/>
      <c r="K129" s="8"/>
      <c r="L129" s="8"/>
      <c r="M129" s="8"/>
      <c r="N129" s="11"/>
      <c r="O129" s="8"/>
      <c r="P129" s="12"/>
      <c r="Q129" s="8"/>
      <c r="R129" s="8"/>
      <c r="S129" s="9" t="str">
        <f aca="false">IF(E129="","",IF(AND(OR(D129="Restaurante",D129="Ingresso"),OR(K129="",K129="A decidir")),"Reserva a decidir; ","")&amp;IF(AND(D129="Ingresso",K129="Não"),"Ingresso não comprado; ","")&amp;IF(AND(K129="Sim",L129=""),"Reserva sem código; ","")&amp;IF(I129="Sim","Fechado no dia; ","")&amp;IF(AND(B129&lt;&gt;"",G129&lt;&gt;"",B129&lt;G129),"Antes de abrir; ","")&amp;IF(AND(B129&lt;&gt;"",H129&lt;&gt;"",B129+C129/1440&gt;H129),"Depois de fechar; ",""))</f>
        <v/>
      </c>
    </row>
    <row r="130" customFormat="false" ht="15" hidden="false" customHeight="false" outlineLevel="0" collapsed="false">
      <c r="A130" s="7"/>
      <c r="B130" s="10"/>
      <c r="C130" s="11"/>
      <c r="D130" s="8"/>
      <c r="E130" s="8"/>
      <c r="F130" s="8"/>
      <c r="G130" s="10"/>
      <c r="H130" s="10"/>
      <c r="I130" s="8"/>
      <c r="J130" s="11"/>
      <c r="K130" s="8"/>
      <c r="L130" s="8"/>
      <c r="M130" s="8"/>
      <c r="N130" s="11"/>
      <c r="O130" s="8"/>
      <c r="P130" s="12"/>
      <c r="Q130" s="8"/>
      <c r="R130" s="8"/>
      <c r="S130" s="9" t="str">
        <f aca="false">IF(E130="","",IF(AND(OR(D130="Restaurante",D130="Ingresso"),OR(K130="",K130="A decidir")),"Reserva a decidir; ","")&amp;IF(AND(D130="Ingresso",K130="Não"),"Ingresso não comprado; ","")&amp;IF(AND(K130="Sim",L130=""),"Reserva sem código; ","")&amp;IF(I130="Sim","Fechado no dia; ","")&amp;IF(AND(B130&lt;&gt;"",G130&lt;&gt;"",B130&lt;G130),"Antes de abrir; ","")&amp;IF(AND(B130&lt;&gt;"",H130&lt;&gt;"",B130+C130/1440&gt;H130),"Depois de fechar; ",""))</f>
        <v/>
      </c>
    </row>
    <row r="131" customFormat="false" ht="15" hidden="false" customHeight="false" outlineLevel="0" collapsed="false">
      <c r="A131" s="7"/>
      <c r="B131" s="10"/>
      <c r="C131" s="11"/>
      <c r="D131" s="8"/>
      <c r="E131" s="8"/>
      <c r="F131" s="8"/>
      <c r="G131" s="10"/>
      <c r="H131" s="10"/>
      <c r="I131" s="8"/>
      <c r="J131" s="11"/>
      <c r="K131" s="8"/>
      <c r="L131" s="8"/>
      <c r="M131" s="8"/>
      <c r="N131" s="11"/>
      <c r="O131" s="8"/>
      <c r="P131" s="12"/>
      <c r="Q131" s="8"/>
      <c r="R131" s="8"/>
      <c r="S131" s="9" t="str">
        <f aca="false">IF(E131="","",IF(AND(OR(D131="Restaurante",D131="Ingresso"),OR(K131="",K131="A decidir")),"Reserva a decidir; ","")&amp;IF(AND(D131="Ingresso",K131="Não"),"Ingresso não comprado; ","")&amp;IF(AND(K131="Sim",L131=""),"Reserva sem código; ","")&amp;IF(I131="Sim","Fechado no dia; ","")&amp;IF(AND(B131&lt;&gt;"",G131&lt;&gt;"",B131&lt;G131),"Antes de abrir; ","")&amp;IF(AND(B131&lt;&gt;"",H131&lt;&gt;"",B131+C131/1440&gt;H131),"Depois de fechar; ",""))</f>
        <v/>
      </c>
    </row>
    <row r="132" customFormat="false" ht="15" hidden="false" customHeight="false" outlineLevel="0" collapsed="false">
      <c r="A132" s="7"/>
      <c r="B132" s="10"/>
      <c r="C132" s="11"/>
      <c r="D132" s="8"/>
      <c r="E132" s="8"/>
      <c r="F132" s="8"/>
      <c r="G132" s="10"/>
      <c r="H132" s="10"/>
      <c r="I132" s="8"/>
      <c r="J132" s="11"/>
      <c r="K132" s="8"/>
      <c r="L132" s="8"/>
      <c r="M132" s="8"/>
      <c r="N132" s="11"/>
      <c r="O132" s="8"/>
      <c r="P132" s="12"/>
      <c r="Q132" s="8"/>
      <c r="R132" s="8"/>
      <c r="S132" s="9" t="str">
        <f aca="false">IF(E132="","",IF(AND(OR(D132="Restaurante",D132="Ingresso"),OR(K132="",K132="A decidir")),"Reserva a decidir; ","")&amp;IF(AND(D132="Ingresso",K132="Não"),"Ingresso não comprado; ","")&amp;IF(AND(K132="Sim",L132=""),"Reserva sem código; ","")&amp;IF(I132="Sim","Fechado no dia; ","")&amp;IF(AND(B132&lt;&gt;"",G132&lt;&gt;"",B132&lt;G132),"Antes de abrir; ","")&amp;IF(AND(B132&lt;&gt;"",H132&lt;&gt;"",B132+C132/1440&gt;H132),"Depois de fechar; ",""))</f>
        <v/>
      </c>
    </row>
    <row r="133" customFormat="false" ht="15" hidden="false" customHeight="false" outlineLevel="0" collapsed="false">
      <c r="A133" s="7"/>
      <c r="B133" s="10"/>
      <c r="C133" s="11"/>
      <c r="D133" s="8"/>
      <c r="E133" s="8"/>
      <c r="F133" s="8"/>
      <c r="G133" s="10"/>
      <c r="H133" s="10"/>
      <c r="I133" s="8"/>
      <c r="J133" s="11"/>
      <c r="K133" s="8"/>
      <c r="L133" s="8"/>
      <c r="M133" s="8"/>
      <c r="N133" s="11"/>
      <c r="O133" s="8"/>
      <c r="P133" s="12"/>
      <c r="Q133" s="8"/>
      <c r="R133" s="8"/>
      <c r="S133" s="9" t="str">
        <f aca="false">IF(E133="","",IF(AND(OR(D133="Restaurante",D133="Ingresso"),OR(K133="",K133="A decidir")),"Reserva a decidir; ","")&amp;IF(AND(D133="Ingresso",K133="Não"),"Ingresso não comprado; ","")&amp;IF(AND(K133="Sim",L133=""),"Reserva sem código; ","")&amp;IF(I133="Sim","Fechado no dia; ","")&amp;IF(AND(B133&lt;&gt;"",G133&lt;&gt;"",B133&lt;G133),"Antes de abrir; ","")&amp;IF(AND(B133&lt;&gt;"",H133&lt;&gt;"",B133+C133/1440&gt;H133),"Depois de fechar; ",""))</f>
        <v/>
      </c>
    </row>
    <row r="134" customFormat="false" ht="15" hidden="false" customHeight="false" outlineLevel="0" collapsed="false">
      <c r="A134" s="7"/>
      <c r="B134" s="10"/>
      <c r="C134" s="11"/>
      <c r="D134" s="8"/>
      <c r="E134" s="8"/>
      <c r="F134" s="8"/>
      <c r="G134" s="10"/>
      <c r="H134" s="10"/>
      <c r="I134" s="8"/>
      <c r="J134" s="11"/>
      <c r="K134" s="8"/>
      <c r="L134" s="8"/>
      <c r="M134" s="8"/>
      <c r="N134" s="11"/>
      <c r="O134" s="8"/>
      <c r="P134" s="12"/>
      <c r="Q134" s="8"/>
      <c r="R134" s="8"/>
      <c r="S134" s="9" t="str">
        <f aca="false">IF(E134="","",IF(AND(OR(D134="Restaurante",D134="Ingresso"),OR(K134="",K134="A decidir")),"Reserva a decidir; ","")&amp;IF(AND(D134="Ingresso",K134="Não"),"Ingresso não comprado; ","")&amp;IF(AND(K134="Sim",L134=""),"Reserva sem código; ","")&amp;IF(I134="Sim","Fechado no dia; ","")&amp;IF(AND(B134&lt;&gt;"",G134&lt;&gt;"",B134&lt;G134),"Antes de abrir; ","")&amp;IF(AND(B134&lt;&gt;"",H134&lt;&gt;"",B134+C134/1440&gt;H134),"Depois de fechar; ",""))</f>
        <v/>
      </c>
    </row>
    <row r="135" customFormat="false" ht="15" hidden="false" customHeight="false" outlineLevel="0" collapsed="false">
      <c r="A135" s="7"/>
      <c r="B135" s="10"/>
      <c r="C135" s="11"/>
      <c r="D135" s="8"/>
      <c r="E135" s="8"/>
      <c r="F135" s="8"/>
      <c r="G135" s="10"/>
      <c r="H135" s="10"/>
      <c r="I135" s="8"/>
      <c r="J135" s="11"/>
      <c r="K135" s="8"/>
      <c r="L135" s="8"/>
      <c r="M135" s="8"/>
      <c r="N135" s="11"/>
      <c r="O135" s="8"/>
      <c r="P135" s="12"/>
      <c r="Q135" s="8"/>
      <c r="R135" s="8"/>
      <c r="S135" s="9" t="str">
        <f aca="false">IF(E135="","",IF(AND(OR(D135="Restaurante",D135="Ingresso"),OR(K135="",K135="A decidir")),"Reserva a decidir; ","")&amp;IF(AND(D135="Ingresso",K135="Não"),"Ingresso não comprado; ","")&amp;IF(AND(K135="Sim",L135=""),"Reserva sem código; ","")&amp;IF(I135="Sim","Fechado no dia; ","")&amp;IF(AND(B135&lt;&gt;"",G135&lt;&gt;"",B135&lt;G135),"Antes de abrir; ","")&amp;IF(AND(B135&lt;&gt;"",H135&lt;&gt;"",B135+C135/1440&gt;H135),"Depois de fechar; ",""))</f>
        <v/>
      </c>
    </row>
    <row r="136" customFormat="false" ht="15" hidden="false" customHeight="false" outlineLevel="0" collapsed="false">
      <c r="A136" s="7"/>
      <c r="B136" s="10"/>
      <c r="C136" s="11"/>
      <c r="D136" s="8"/>
      <c r="E136" s="8"/>
      <c r="F136" s="8"/>
      <c r="G136" s="10"/>
      <c r="H136" s="10"/>
      <c r="I136" s="8"/>
      <c r="J136" s="11"/>
      <c r="K136" s="8"/>
      <c r="L136" s="8"/>
      <c r="M136" s="8"/>
      <c r="N136" s="11"/>
      <c r="O136" s="8"/>
      <c r="P136" s="12"/>
      <c r="Q136" s="8"/>
      <c r="R136" s="8"/>
      <c r="S136" s="9" t="str">
        <f aca="false">IF(E136="","",IF(AND(OR(D136="Restaurante",D136="Ingresso"),OR(K136="",K136="A decidir")),"Reserva a decidir; ","")&amp;IF(AND(D136="Ingresso",K136="Não"),"Ingresso não comprado; ","")&amp;IF(AND(K136="Sim",L136=""),"Reserva sem código; ","")&amp;IF(I136="Sim","Fechado no dia; ","")&amp;IF(AND(B136&lt;&gt;"",G136&lt;&gt;"",B136&lt;G136),"Antes de abrir; ","")&amp;IF(AND(B136&lt;&gt;"",H136&lt;&gt;"",B136+C136/1440&gt;H136),"Depois de fechar; ",""))</f>
        <v/>
      </c>
    </row>
    <row r="137" customFormat="false" ht="15" hidden="false" customHeight="false" outlineLevel="0" collapsed="false">
      <c r="A137" s="7"/>
      <c r="B137" s="10"/>
      <c r="C137" s="11"/>
      <c r="D137" s="8"/>
      <c r="E137" s="8"/>
      <c r="F137" s="8"/>
      <c r="G137" s="10"/>
      <c r="H137" s="10"/>
      <c r="I137" s="8"/>
      <c r="J137" s="11"/>
      <c r="K137" s="8"/>
      <c r="L137" s="8"/>
      <c r="M137" s="8"/>
      <c r="N137" s="11"/>
      <c r="O137" s="8"/>
      <c r="P137" s="12"/>
      <c r="Q137" s="8"/>
      <c r="R137" s="8"/>
      <c r="S137" s="9" t="str">
        <f aca="false">IF(E137="","",IF(AND(OR(D137="Restaurante",D137="Ingresso"),OR(K137="",K137="A decidir")),"Reserva a decidir; ","")&amp;IF(AND(D137="Ingresso",K137="Não"),"Ingresso não comprado; ","")&amp;IF(AND(K137="Sim",L137=""),"Reserva sem código; ","")&amp;IF(I137="Sim","Fechado no dia; ","")&amp;IF(AND(B137&lt;&gt;"",G137&lt;&gt;"",B137&lt;G137),"Antes de abrir; ","")&amp;IF(AND(B137&lt;&gt;"",H137&lt;&gt;"",B137+C137/1440&gt;H137),"Depois de fechar; ",""))</f>
        <v/>
      </c>
    </row>
    <row r="138" customFormat="false" ht="15" hidden="false" customHeight="false" outlineLevel="0" collapsed="false">
      <c r="A138" s="7"/>
      <c r="B138" s="10"/>
      <c r="C138" s="11"/>
      <c r="D138" s="8"/>
      <c r="E138" s="8"/>
      <c r="F138" s="8"/>
      <c r="G138" s="10"/>
      <c r="H138" s="10"/>
      <c r="I138" s="8"/>
      <c r="J138" s="11"/>
      <c r="K138" s="8"/>
      <c r="L138" s="8"/>
      <c r="M138" s="8"/>
      <c r="N138" s="11"/>
      <c r="O138" s="8"/>
      <c r="P138" s="12"/>
      <c r="Q138" s="8"/>
      <c r="R138" s="8"/>
      <c r="S138" s="9" t="str">
        <f aca="false">IF(E138="","",IF(AND(OR(D138="Restaurante",D138="Ingresso"),OR(K138="",K138="A decidir")),"Reserva a decidir; ","")&amp;IF(AND(D138="Ingresso",K138="Não"),"Ingresso não comprado; ","")&amp;IF(AND(K138="Sim",L138=""),"Reserva sem código; ","")&amp;IF(I138="Sim","Fechado no dia; ","")&amp;IF(AND(B138&lt;&gt;"",G138&lt;&gt;"",B138&lt;G138),"Antes de abrir; ","")&amp;IF(AND(B138&lt;&gt;"",H138&lt;&gt;"",B138+C138/1440&gt;H138),"Depois de fechar; ",""))</f>
        <v/>
      </c>
    </row>
    <row r="139" customFormat="false" ht="15" hidden="false" customHeight="false" outlineLevel="0" collapsed="false">
      <c r="A139" s="7"/>
      <c r="B139" s="10"/>
      <c r="C139" s="11"/>
      <c r="D139" s="8"/>
      <c r="E139" s="8"/>
      <c r="F139" s="8"/>
      <c r="G139" s="10"/>
      <c r="H139" s="10"/>
      <c r="I139" s="8"/>
      <c r="J139" s="11"/>
      <c r="K139" s="8"/>
      <c r="L139" s="8"/>
      <c r="M139" s="8"/>
      <c r="N139" s="11"/>
      <c r="O139" s="8"/>
      <c r="P139" s="12"/>
      <c r="Q139" s="8"/>
      <c r="R139" s="8"/>
      <c r="S139" s="9" t="str">
        <f aca="false">IF(E139="","",IF(AND(OR(D139="Restaurante",D139="Ingresso"),OR(K139="",K139="A decidir")),"Reserva a decidir; ","")&amp;IF(AND(D139="Ingresso",K139="Não"),"Ingresso não comprado; ","")&amp;IF(AND(K139="Sim",L139=""),"Reserva sem código; ","")&amp;IF(I139="Sim","Fechado no dia; ","")&amp;IF(AND(B139&lt;&gt;"",G139&lt;&gt;"",B139&lt;G139),"Antes de abrir; ","")&amp;IF(AND(B139&lt;&gt;"",H139&lt;&gt;"",B139+C139/1440&gt;H139),"Depois de fechar; ",""))</f>
        <v/>
      </c>
    </row>
    <row r="140" customFormat="false" ht="15" hidden="false" customHeight="false" outlineLevel="0" collapsed="false">
      <c r="A140" s="7"/>
      <c r="B140" s="10"/>
      <c r="C140" s="11"/>
      <c r="D140" s="8"/>
      <c r="E140" s="8"/>
      <c r="F140" s="8"/>
      <c r="G140" s="10"/>
      <c r="H140" s="10"/>
      <c r="I140" s="8"/>
      <c r="J140" s="11"/>
      <c r="K140" s="8"/>
      <c r="L140" s="8"/>
      <c r="M140" s="8"/>
      <c r="N140" s="11"/>
      <c r="O140" s="8"/>
      <c r="P140" s="12"/>
      <c r="Q140" s="8"/>
      <c r="R140" s="8"/>
      <c r="S140" s="9" t="str">
        <f aca="false">IF(E140="","",IF(AND(OR(D140="Restaurante",D140="Ingresso"),OR(K140="",K140="A decidir")),"Reserva a decidir; ","")&amp;IF(AND(D140="Ingresso",K140="Não"),"Ingresso não comprado; ","")&amp;IF(AND(K140="Sim",L140=""),"Reserva sem código; ","")&amp;IF(I140="Sim","Fechado no dia; ","")&amp;IF(AND(B140&lt;&gt;"",G140&lt;&gt;"",B140&lt;G140),"Antes de abrir; ","")&amp;IF(AND(B140&lt;&gt;"",H140&lt;&gt;"",B140+C140/1440&gt;H140),"Depois de fechar; ",""))</f>
        <v/>
      </c>
    </row>
    <row r="141" customFormat="false" ht="15" hidden="false" customHeight="false" outlineLevel="0" collapsed="false">
      <c r="A141" s="7"/>
      <c r="B141" s="10"/>
      <c r="C141" s="11"/>
      <c r="D141" s="8"/>
      <c r="E141" s="8"/>
      <c r="F141" s="8"/>
      <c r="G141" s="10"/>
      <c r="H141" s="10"/>
      <c r="I141" s="8"/>
      <c r="J141" s="11"/>
      <c r="K141" s="8"/>
      <c r="L141" s="8"/>
      <c r="M141" s="8"/>
      <c r="N141" s="11"/>
      <c r="O141" s="8"/>
      <c r="P141" s="12"/>
      <c r="Q141" s="8"/>
      <c r="R141" s="8"/>
      <c r="S141" s="9" t="str">
        <f aca="false">IF(E141="","",IF(AND(OR(D141="Restaurante",D141="Ingresso"),OR(K141="",K141="A decidir")),"Reserva a decidir; ","")&amp;IF(AND(D141="Ingresso",K141="Não"),"Ingresso não comprado; ","")&amp;IF(AND(K141="Sim",L141=""),"Reserva sem código; ","")&amp;IF(I141="Sim","Fechado no dia; ","")&amp;IF(AND(B141&lt;&gt;"",G141&lt;&gt;"",B141&lt;G141),"Antes de abrir; ","")&amp;IF(AND(B141&lt;&gt;"",H141&lt;&gt;"",B141+C141/1440&gt;H141),"Depois de fechar; ",""))</f>
        <v/>
      </c>
    </row>
    <row r="142" customFormat="false" ht="15" hidden="false" customHeight="false" outlineLevel="0" collapsed="false">
      <c r="A142" s="7"/>
      <c r="B142" s="10"/>
      <c r="C142" s="11"/>
      <c r="D142" s="8"/>
      <c r="E142" s="8"/>
      <c r="F142" s="8"/>
      <c r="G142" s="10"/>
      <c r="H142" s="10"/>
      <c r="I142" s="8"/>
      <c r="J142" s="11"/>
      <c r="K142" s="8"/>
      <c r="L142" s="8"/>
      <c r="M142" s="8"/>
      <c r="N142" s="11"/>
      <c r="O142" s="8"/>
      <c r="P142" s="12"/>
      <c r="Q142" s="8"/>
      <c r="R142" s="8"/>
      <c r="S142" s="9" t="str">
        <f aca="false">IF(E142="","",IF(AND(OR(D142="Restaurante",D142="Ingresso"),OR(K142="",K142="A decidir")),"Reserva a decidir; ","")&amp;IF(AND(D142="Ingresso",K142="Não"),"Ingresso não comprado; ","")&amp;IF(AND(K142="Sim",L142=""),"Reserva sem código; ","")&amp;IF(I142="Sim","Fechado no dia; ","")&amp;IF(AND(B142&lt;&gt;"",G142&lt;&gt;"",B142&lt;G142),"Antes de abrir; ","")&amp;IF(AND(B142&lt;&gt;"",H142&lt;&gt;"",B142+C142/1440&gt;H142),"Depois de fechar; ",""))</f>
        <v/>
      </c>
    </row>
    <row r="143" customFormat="false" ht="15" hidden="false" customHeight="false" outlineLevel="0" collapsed="false">
      <c r="A143" s="7"/>
      <c r="B143" s="10"/>
      <c r="C143" s="11"/>
      <c r="D143" s="8"/>
      <c r="E143" s="8"/>
      <c r="F143" s="8"/>
      <c r="G143" s="10"/>
      <c r="H143" s="10"/>
      <c r="I143" s="8"/>
      <c r="J143" s="11"/>
      <c r="K143" s="8"/>
      <c r="L143" s="8"/>
      <c r="M143" s="8"/>
      <c r="N143" s="11"/>
      <c r="O143" s="8"/>
      <c r="P143" s="12"/>
      <c r="Q143" s="8"/>
      <c r="R143" s="8"/>
      <c r="S143" s="9" t="str">
        <f aca="false">IF(E143="","",IF(AND(OR(D143="Restaurante",D143="Ingresso"),OR(K143="",K143="A decidir")),"Reserva a decidir; ","")&amp;IF(AND(D143="Ingresso",K143="Não"),"Ingresso não comprado; ","")&amp;IF(AND(K143="Sim",L143=""),"Reserva sem código; ","")&amp;IF(I143="Sim","Fechado no dia; ","")&amp;IF(AND(B143&lt;&gt;"",G143&lt;&gt;"",B143&lt;G143),"Antes de abrir; ","")&amp;IF(AND(B143&lt;&gt;"",H143&lt;&gt;"",B143+C143/1440&gt;H143),"Depois de fechar; ",""))</f>
        <v/>
      </c>
    </row>
    <row r="144" customFormat="false" ht="15" hidden="false" customHeight="false" outlineLevel="0" collapsed="false">
      <c r="A144" s="7"/>
      <c r="B144" s="10"/>
      <c r="C144" s="11"/>
      <c r="D144" s="8"/>
      <c r="E144" s="8"/>
      <c r="F144" s="8"/>
      <c r="G144" s="10"/>
      <c r="H144" s="10"/>
      <c r="I144" s="8"/>
      <c r="J144" s="11"/>
      <c r="K144" s="8"/>
      <c r="L144" s="8"/>
      <c r="M144" s="8"/>
      <c r="N144" s="11"/>
      <c r="O144" s="8"/>
      <c r="P144" s="12"/>
      <c r="Q144" s="8"/>
      <c r="R144" s="8"/>
      <c r="S144" s="9" t="str">
        <f aca="false">IF(E144="","",IF(AND(OR(D144="Restaurante",D144="Ingresso"),OR(K144="",K144="A decidir")),"Reserva a decidir; ","")&amp;IF(AND(D144="Ingresso",K144="Não"),"Ingresso não comprado; ","")&amp;IF(AND(K144="Sim",L144=""),"Reserva sem código; ","")&amp;IF(I144="Sim","Fechado no dia; ","")&amp;IF(AND(B144&lt;&gt;"",G144&lt;&gt;"",B144&lt;G144),"Antes de abrir; ","")&amp;IF(AND(B144&lt;&gt;"",H144&lt;&gt;"",B144+C144/1440&gt;H144),"Depois de fechar; ",""))</f>
        <v/>
      </c>
    </row>
    <row r="145" customFormat="false" ht="15" hidden="false" customHeight="false" outlineLevel="0" collapsed="false">
      <c r="A145" s="7"/>
      <c r="B145" s="10"/>
      <c r="C145" s="11"/>
      <c r="D145" s="8"/>
      <c r="E145" s="8"/>
      <c r="F145" s="8"/>
      <c r="G145" s="10"/>
      <c r="H145" s="10"/>
      <c r="I145" s="8"/>
      <c r="J145" s="11"/>
      <c r="K145" s="8"/>
      <c r="L145" s="8"/>
      <c r="M145" s="8"/>
      <c r="N145" s="11"/>
      <c r="O145" s="8"/>
      <c r="P145" s="12"/>
      <c r="Q145" s="8"/>
      <c r="R145" s="8"/>
      <c r="S145" s="9" t="str">
        <f aca="false">IF(E145="","",IF(AND(OR(D145="Restaurante",D145="Ingresso"),OR(K145="",K145="A decidir")),"Reserva a decidir; ","")&amp;IF(AND(D145="Ingresso",K145="Não"),"Ingresso não comprado; ","")&amp;IF(AND(K145="Sim",L145=""),"Reserva sem código; ","")&amp;IF(I145="Sim","Fechado no dia; ","")&amp;IF(AND(B145&lt;&gt;"",G145&lt;&gt;"",B145&lt;G145),"Antes de abrir; ","")&amp;IF(AND(B145&lt;&gt;"",H145&lt;&gt;"",B145+C145/1440&gt;H145),"Depois de fechar; ",""))</f>
        <v/>
      </c>
    </row>
    <row r="146" customFormat="false" ht="15" hidden="false" customHeight="false" outlineLevel="0" collapsed="false">
      <c r="A146" s="7"/>
      <c r="B146" s="10"/>
      <c r="C146" s="11"/>
      <c r="D146" s="8"/>
      <c r="E146" s="8"/>
      <c r="F146" s="8"/>
      <c r="G146" s="10"/>
      <c r="H146" s="10"/>
      <c r="I146" s="8"/>
      <c r="J146" s="11"/>
      <c r="K146" s="8"/>
      <c r="L146" s="8"/>
      <c r="M146" s="8"/>
      <c r="N146" s="11"/>
      <c r="O146" s="8"/>
      <c r="P146" s="12"/>
      <c r="Q146" s="8"/>
      <c r="R146" s="8"/>
      <c r="S146" s="9" t="str">
        <f aca="false">IF(E146="","",IF(AND(OR(D146="Restaurante",D146="Ingresso"),OR(K146="",K146="A decidir")),"Reserva a decidir; ","")&amp;IF(AND(D146="Ingresso",K146="Não"),"Ingresso não comprado; ","")&amp;IF(AND(K146="Sim",L146=""),"Reserva sem código; ","")&amp;IF(I146="Sim","Fechado no dia; ","")&amp;IF(AND(B146&lt;&gt;"",G146&lt;&gt;"",B146&lt;G146),"Antes de abrir; ","")&amp;IF(AND(B146&lt;&gt;"",H146&lt;&gt;"",B146+C146/1440&gt;H146),"Depois de fechar; ",""))</f>
        <v/>
      </c>
    </row>
    <row r="147" customFormat="false" ht="15" hidden="false" customHeight="false" outlineLevel="0" collapsed="false">
      <c r="A147" s="7"/>
      <c r="B147" s="10"/>
      <c r="C147" s="11"/>
      <c r="D147" s="8"/>
      <c r="E147" s="8"/>
      <c r="F147" s="8"/>
      <c r="G147" s="10"/>
      <c r="H147" s="10"/>
      <c r="I147" s="8"/>
      <c r="J147" s="11"/>
      <c r="K147" s="8"/>
      <c r="L147" s="8"/>
      <c r="M147" s="8"/>
      <c r="N147" s="11"/>
      <c r="O147" s="8"/>
      <c r="P147" s="12"/>
      <c r="Q147" s="8"/>
      <c r="R147" s="8"/>
      <c r="S147" s="9" t="str">
        <f aca="false">IF(E147="","",IF(AND(OR(D147="Restaurante",D147="Ingresso"),OR(K147="",K147="A decidir")),"Reserva a decidir; ","")&amp;IF(AND(D147="Ingresso",K147="Não"),"Ingresso não comprado; ","")&amp;IF(AND(K147="Sim",L147=""),"Reserva sem código; ","")&amp;IF(I147="Sim","Fechado no dia; ","")&amp;IF(AND(B147&lt;&gt;"",G147&lt;&gt;"",B147&lt;G147),"Antes de abrir; ","")&amp;IF(AND(B147&lt;&gt;"",H147&lt;&gt;"",B147+C147/1440&gt;H147),"Depois de fechar; ",""))</f>
        <v/>
      </c>
    </row>
    <row r="148" customFormat="false" ht="15" hidden="false" customHeight="false" outlineLevel="0" collapsed="false">
      <c r="A148" s="7"/>
      <c r="B148" s="10"/>
      <c r="C148" s="11"/>
      <c r="D148" s="8"/>
      <c r="E148" s="8"/>
      <c r="F148" s="8"/>
      <c r="G148" s="10"/>
      <c r="H148" s="10"/>
      <c r="I148" s="8"/>
      <c r="J148" s="11"/>
      <c r="K148" s="8"/>
      <c r="L148" s="8"/>
      <c r="M148" s="8"/>
      <c r="N148" s="11"/>
      <c r="O148" s="8"/>
      <c r="P148" s="12"/>
      <c r="Q148" s="8"/>
      <c r="R148" s="8"/>
      <c r="S148" s="9" t="str">
        <f aca="false">IF(E148="","",IF(AND(OR(D148="Restaurante",D148="Ingresso"),OR(K148="",K148="A decidir")),"Reserva a decidir; ","")&amp;IF(AND(D148="Ingresso",K148="Não"),"Ingresso não comprado; ","")&amp;IF(AND(K148="Sim",L148=""),"Reserva sem código; ","")&amp;IF(I148="Sim","Fechado no dia; ","")&amp;IF(AND(B148&lt;&gt;"",G148&lt;&gt;"",B148&lt;G148),"Antes de abrir; ","")&amp;IF(AND(B148&lt;&gt;"",H148&lt;&gt;"",B148+C148/1440&gt;H148),"Depois de fechar; ",""))</f>
        <v/>
      </c>
    </row>
    <row r="149" customFormat="false" ht="15" hidden="false" customHeight="false" outlineLevel="0" collapsed="false">
      <c r="A149" s="7"/>
      <c r="B149" s="10"/>
      <c r="C149" s="11"/>
      <c r="D149" s="8"/>
      <c r="E149" s="8"/>
      <c r="F149" s="8"/>
      <c r="G149" s="10"/>
      <c r="H149" s="10"/>
      <c r="I149" s="8"/>
      <c r="J149" s="11"/>
      <c r="K149" s="8"/>
      <c r="L149" s="8"/>
      <c r="M149" s="8"/>
      <c r="N149" s="11"/>
      <c r="O149" s="8"/>
      <c r="P149" s="12"/>
      <c r="Q149" s="8"/>
      <c r="R149" s="8"/>
      <c r="S149" s="9" t="str">
        <f aca="false">IF(E149="","",IF(AND(OR(D149="Restaurante",D149="Ingresso"),OR(K149="",K149="A decidir")),"Reserva a decidir; ","")&amp;IF(AND(D149="Ingresso",K149="Não"),"Ingresso não comprado; ","")&amp;IF(AND(K149="Sim",L149=""),"Reserva sem código; ","")&amp;IF(I149="Sim","Fechado no dia; ","")&amp;IF(AND(B149&lt;&gt;"",G149&lt;&gt;"",B149&lt;G149),"Antes de abrir; ","")&amp;IF(AND(B149&lt;&gt;"",H149&lt;&gt;"",B149+C149/1440&gt;H149),"Depois de fechar; ",""))</f>
        <v/>
      </c>
    </row>
    <row r="150" customFormat="false" ht="15" hidden="false" customHeight="false" outlineLevel="0" collapsed="false">
      <c r="A150" s="7"/>
      <c r="B150" s="10"/>
      <c r="C150" s="11"/>
      <c r="D150" s="8"/>
      <c r="E150" s="8"/>
      <c r="F150" s="8"/>
      <c r="G150" s="10"/>
      <c r="H150" s="10"/>
      <c r="I150" s="8"/>
      <c r="J150" s="11"/>
      <c r="K150" s="8"/>
      <c r="L150" s="8"/>
      <c r="M150" s="8"/>
      <c r="N150" s="11"/>
      <c r="O150" s="8"/>
      <c r="P150" s="12"/>
      <c r="Q150" s="8"/>
      <c r="R150" s="8"/>
      <c r="S150" s="9" t="str">
        <f aca="false">IF(E150="","",IF(AND(OR(D150="Restaurante",D150="Ingresso"),OR(K150="",K150="A decidir")),"Reserva a decidir; ","")&amp;IF(AND(D150="Ingresso",K150="Não"),"Ingresso não comprado; ","")&amp;IF(AND(K150="Sim",L150=""),"Reserva sem código; ","")&amp;IF(I150="Sim","Fechado no dia; ","")&amp;IF(AND(B150&lt;&gt;"",G150&lt;&gt;"",B150&lt;G150),"Antes de abrir; ","")&amp;IF(AND(B150&lt;&gt;"",H150&lt;&gt;"",B150+C150/1440&gt;H150),"Depois de fechar; ",""))</f>
        <v/>
      </c>
    </row>
    <row r="151" customFormat="false" ht="15" hidden="false" customHeight="false" outlineLevel="0" collapsed="false">
      <c r="A151" s="7"/>
      <c r="B151" s="10"/>
      <c r="C151" s="11"/>
      <c r="D151" s="8"/>
      <c r="E151" s="8"/>
      <c r="F151" s="8"/>
      <c r="G151" s="10"/>
      <c r="H151" s="10"/>
      <c r="I151" s="8"/>
      <c r="J151" s="11"/>
      <c r="K151" s="8"/>
      <c r="L151" s="8"/>
      <c r="M151" s="8"/>
      <c r="N151" s="11"/>
      <c r="O151" s="8"/>
      <c r="P151" s="12"/>
      <c r="Q151" s="8"/>
      <c r="R151" s="8"/>
      <c r="S151" s="9" t="str">
        <f aca="false">IF(E151="","",IF(AND(OR(D151="Restaurante",D151="Ingresso"),OR(K151="",K151="A decidir")),"Reserva a decidir; ","")&amp;IF(AND(D151="Ingresso",K151="Não"),"Ingresso não comprado; ","")&amp;IF(AND(K151="Sim",L151=""),"Reserva sem código; ","")&amp;IF(I151="Sim","Fechado no dia; ","")&amp;IF(AND(B151&lt;&gt;"",G151&lt;&gt;"",B151&lt;G151),"Antes de abrir; ","")&amp;IF(AND(B151&lt;&gt;"",H151&lt;&gt;"",B151+C151/1440&gt;H151),"Depois de fechar; ",""))</f>
        <v/>
      </c>
    </row>
    <row r="152" customFormat="false" ht="15" hidden="false" customHeight="false" outlineLevel="0" collapsed="false">
      <c r="A152" s="7"/>
      <c r="B152" s="10"/>
      <c r="C152" s="11"/>
      <c r="D152" s="8"/>
      <c r="E152" s="8"/>
      <c r="F152" s="8"/>
      <c r="G152" s="10"/>
      <c r="H152" s="10"/>
      <c r="I152" s="8"/>
      <c r="J152" s="11"/>
      <c r="K152" s="8"/>
      <c r="L152" s="8"/>
      <c r="M152" s="8"/>
      <c r="N152" s="11"/>
      <c r="O152" s="8"/>
      <c r="P152" s="12"/>
      <c r="Q152" s="8"/>
      <c r="R152" s="8"/>
      <c r="S152" s="9" t="str">
        <f aca="false">IF(E152="","",IF(AND(OR(D152="Restaurante",D152="Ingresso"),OR(K152="",K152="A decidir")),"Reserva a decidir; ","")&amp;IF(AND(D152="Ingresso",K152="Não"),"Ingresso não comprado; ","")&amp;IF(AND(K152="Sim",L152=""),"Reserva sem código; ","")&amp;IF(I152="Sim","Fechado no dia; ","")&amp;IF(AND(B152&lt;&gt;"",G152&lt;&gt;"",B152&lt;G152),"Antes de abrir; ","")&amp;IF(AND(B152&lt;&gt;"",H152&lt;&gt;"",B152+C152/1440&gt;H152),"Depois de fechar; ",""))</f>
        <v/>
      </c>
    </row>
    <row r="153" customFormat="false" ht="15" hidden="false" customHeight="false" outlineLevel="0" collapsed="false">
      <c r="A153" s="7"/>
      <c r="B153" s="10"/>
      <c r="C153" s="11"/>
      <c r="D153" s="8"/>
      <c r="E153" s="8"/>
      <c r="F153" s="8"/>
      <c r="G153" s="10"/>
      <c r="H153" s="10"/>
      <c r="I153" s="8"/>
      <c r="J153" s="11"/>
      <c r="K153" s="8"/>
      <c r="L153" s="8"/>
      <c r="M153" s="8"/>
      <c r="N153" s="11"/>
      <c r="O153" s="8"/>
      <c r="P153" s="12"/>
      <c r="Q153" s="8"/>
      <c r="R153" s="8"/>
      <c r="S153" s="9" t="str">
        <f aca="false">IF(E153="","",IF(AND(OR(D153="Restaurante",D153="Ingresso"),OR(K153="",K153="A decidir")),"Reserva a decidir; ","")&amp;IF(AND(D153="Ingresso",K153="Não"),"Ingresso não comprado; ","")&amp;IF(AND(K153="Sim",L153=""),"Reserva sem código; ","")&amp;IF(I153="Sim","Fechado no dia; ","")&amp;IF(AND(B153&lt;&gt;"",G153&lt;&gt;"",B153&lt;G153),"Antes de abrir; ","")&amp;IF(AND(B153&lt;&gt;"",H153&lt;&gt;"",B153+C153/1440&gt;H153),"Depois de fechar; ",""))</f>
        <v/>
      </c>
    </row>
    <row r="154" customFormat="false" ht="15" hidden="false" customHeight="false" outlineLevel="0" collapsed="false">
      <c r="A154" s="7"/>
      <c r="B154" s="10"/>
      <c r="C154" s="11"/>
      <c r="D154" s="8"/>
      <c r="E154" s="8"/>
      <c r="F154" s="8"/>
      <c r="G154" s="10"/>
      <c r="H154" s="10"/>
      <c r="I154" s="8"/>
      <c r="J154" s="11"/>
      <c r="K154" s="8"/>
      <c r="L154" s="8"/>
      <c r="M154" s="8"/>
      <c r="N154" s="11"/>
      <c r="O154" s="8"/>
      <c r="P154" s="12"/>
      <c r="Q154" s="8"/>
      <c r="R154" s="8"/>
      <c r="S154" s="9" t="str">
        <f aca="false">IF(E154="","",IF(AND(OR(D154="Restaurante",D154="Ingresso"),OR(K154="",K154="A decidir")),"Reserva a decidir; ","")&amp;IF(AND(D154="Ingresso",K154="Não"),"Ingresso não comprado; ","")&amp;IF(AND(K154="Sim",L154=""),"Reserva sem código; ","")&amp;IF(I154="Sim","Fechado no dia; ","")&amp;IF(AND(B154&lt;&gt;"",G154&lt;&gt;"",B154&lt;G154),"Antes de abrir; ","")&amp;IF(AND(B154&lt;&gt;"",H154&lt;&gt;"",B154+C154/1440&gt;H154),"Depois de fechar; ",""))</f>
        <v/>
      </c>
    </row>
    <row r="155" customFormat="false" ht="15" hidden="false" customHeight="false" outlineLevel="0" collapsed="false">
      <c r="A155" s="7"/>
      <c r="B155" s="10"/>
      <c r="C155" s="11"/>
      <c r="D155" s="8"/>
      <c r="E155" s="8"/>
      <c r="F155" s="8"/>
      <c r="G155" s="10"/>
      <c r="H155" s="10"/>
      <c r="I155" s="8"/>
      <c r="J155" s="11"/>
      <c r="K155" s="8"/>
      <c r="L155" s="8"/>
      <c r="M155" s="8"/>
      <c r="N155" s="11"/>
      <c r="O155" s="8"/>
      <c r="P155" s="12"/>
      <c r="Q155" s="8"/>
      <c r="R155" s="8"/>
      <c r="S155" s="9" t="str">
        <f aca="false">IF(E155="","",IF(AND(OR(D155="Restaurante",D155="Ingresso"),OR(K155="",K155="A decidir")),"Reserva a decidir; ","")&amp;IF(AND(D155="Ingresso",K155="Não"),"Ingresso não comprado; ","")&amp;IF(AND(K155="Sim",L155=""),"Reserva sem código; ","")&amp;IF(I155="Sim","Fechado no dia; ","")&amp;IF(AND(B155&lt;&gt;"",G155&lt;&gt;"",B155&lt;G155),"Antes de abrir; ","")&amp;IF(AND(B155&lt;&gt;"",H155&lt;&gt;"",B155+C155/1440&gt;H155),"Depois de fechar; ",""))</f>
        <v/>
      </c>
    </row>
    <row r="156" customFormat="false" ht="15" hidden="false" customHeight="false" outlineLevel="0" collapsed="false">
      <c r="A156" s="7"/>
      <c r="B156" s="10"/>
      <c r="C156" s="11"/>
      <c r="D156" s="8"/>
      <c r="E156" s="8"/>
      <c r="F156" s="8"/>
      <c r="G156" s="10"/>
      <c r="H156" s="10"/>
      <c r="I156" s="8"/>
      <c r="J156" s="11"/>
      <c r="K156" s="8"/>
      <c r="L156" s="8"/>
      <c r="M156" s="8"/>
      <c r="N156" s="11"/>
      <c r="O156" s="8"/>
      <c r="P156" s="12"/>
      <c r="Q156" s="8"/>
      <c r="R156" s="8"/>
      <c r="S156" s="9" t="str">
        <f aca="false">IF(E156="","",IF(AND(OR(D156="Restaurante",D156="Ingresso"),OR(K156="",K156="A decidir")),"Reserva a decidir; ","")&amp;IF(AND(D156="Ingresso",K156="Não"),"Ingresso não comprado; ","")&amp;IF(AND(K156="Sim",L156=""),"Reserva sem código; ","")&amp;IF(I156="Sim","Fechado no dia; ","")&amp;IF(AND(B156&lt;&gt;"",G156&lt;&gt;"",B156&lt;G156),"Antes de abrir; ","")&amp;IF(AND(B156&lt;&gt;"",H156&lt;&gt;"",B156+C156/1440&gt;H156),"Depois de fechar; ",""))</f>
        <v/>
      </c>
    </row>
    <row r="157" customFormat="false" ht="15" hidden="false" customHeight="false" outlineLevel="0" collapsed="false">
      <c r="A157" s="7"/>
      <c r="B157" s="10"/>
      <c r="C157" s="11"/>
      <c r="D157" s="8"/>
      <c r="E157" s="8"/>
      <c r="F157" s="8"/>
      <c r="G157" s="10"/>
      <c r="H157" s="10"/>
      <c r="I157" s="8"/>
      <c r="J157" s="11"/>
      <c r="K157" s="8"/>
      <c r="L157" s="8"/>
      <c r="M157" s="8"/>
      <c r="N157" s="11"/>
      <c r="O157" s="8"/>
      <c r="P157" s="12"/>
      <c r="Q157" s="8"/>
      <c r="R157" s="8"/>
      <c r="S157" s="9" t="str">
        <f aca="false">IF(E157="","",IF(AND(OR(D157="Restaurante",D157="Ingresso"),OR(K157="",K157="A decidir")),"Reserva a decidir; ","")&amp;IF(AND(D157="Ingresso",K157="Não"),"Ingresso não comprado; ","")&amp;IF(AND(K157="Sim",L157=""),"Reserva sem código; ","")&amp;IF(I157="Sim","Fechado no dia; ","")&amp;IF(AND(B157&lt;&gt;"",G157&lt;&gt;"",B157&lt;G157),"Antes de abrir; ","")&amp;IF(AND(B157&lt;&gt;"",H157&lt;&gt;"",B157+C157/1440&gt;H157),"Depois de fechar; ",""))</f>
        <v/>
      </c>
    </row>
    <row r="158" customFormat="false" ht="15" hidden="false" customHeight="false" outlineLevel="0" collapsed="false">
      <c r="A158" s="7"/>
      <c r="B158" s="10"/>
      <c r="C158" s="11"/>
      <c r="D158" s="8"/>
      <c r="E158" s="8"/>
      <c r="F158" s="8"/>
      <c r="G158" s="10"/>
      <c r="H158" s="10"/>
      <c r="I158" s="8"/>
      <c r="J158" s="11"/>
      <c r="K158" s="8"/>
      <c r="L158" s="8"/>
      <c r="M158" s="8"/>
      <c r="N158" s="11"/>
      <c r="O158" s="8"/>
      <c r="P158" s="12"/>
      <c r="Q158" s="8"/>
      <c r="R158" s="8"/>
      <c r="S158" s="9" t="str">
        <f aca="false">IF(E158="","",IF(AND(OR(D158="Restaurante",D158="Ingresso"),OR(K158="",K158="A decidir")),"Reserva a decidir; ","")&amp;IF(AND(D158="Ingresso",K158="Não"),"Ingresso não comprado; ","")&amp;IF(AND(K158="Sim",L158=""),"Reserva sem código; ","")&amp;IF(I158="Sim","Fechado no dia; ","")&amp;IF(AND(B158&lt;&gt;"",G158&lt;&gt;"",B158&lt;G158),"Antes de abrir; ","")&amp;IF(AND(B158&lt;&gt;"",H158&lt;&gt;"",B158+C158/1440&gt;H158),"Depois de fechar; ",""))</f>
        <v/>
      </c>
    </row>
    <row r="159" customFormat="false" ht="15" hidden="false" customHeight="false" outlineLevel="0" collapsed="false">
      <c r="A159" s="7"/>
      <c r="B159" s="10"/>
      <c r="C159" s="11"/>
      <c r="D159" s="8"/>
      <c r="E159" s="8"/>
      <c r="F159" s="8"/>
      <c r="G159" s="10"/>
      <c r="H159" s="10"/>
      <c r="I159" s="8"/>
      <c r="J159" s="11"/>
      <c r="K159" s="8"/>
      <c r="L159" s="8"/>
      <c r="M159" s="8"/>
      <c r="N159" s="11"/>
      <c r="O159" s="8"/>
      <c r="P159" s="12"/>
      <c r="Q159" s="8"/>
      <c r="R159" s="8"/>
      <c r="S159" s="9" t="str">
        <f aca="false">IF(E159="","",IF(AND(OR(D159="Restaurante",D159="Ingresso"),OR(K159="",K159="A decidir")),"Reserva a decidir; ","")&amp;IF(AND(D159="Ingresso",K159="Não"),"Ingresso não comprado; ","")&amp;IF(AND(K159="Sim",L159=""),"Reserva sem código; ","")&amp;IF(I159="Sim","Fechado no dia; ","")&amp;IF(AND(B159&lt;&gt;"",G159&lt;&gt;"",B159&lt;G159),"Antes de abrir; ","")&amp;IF(AND(B159&lt;&gt;"",H159&lt;&gt;"",B159+C159/1440&gt;H159),"Depois de fechar; ",""))</f>
        <v/>
      </c>
    </row>
    <row r="160" customFormat="false" ht="15" hidden="false" customHeight="false" outlineLevel="0" collapsed="false">
      <c r="A160" s="7"/>
      <c r="B160" s="10"/>
      <c r="C160" s="11"/>
      <c r="D160" s="8"/>
      <c r="E160" s="8"/>
      <c r="F160" s="8"/>
      <c r="G160" s="10"/>
      <c r="H160" s="10"/>
      <c r="I160" s="8"/>
      <c r="J160" s="11"/>
      <c r="K160" s="8"/>
      <c r="L160" s="8"/>
      <c r="M160" s="8"/>
      <c r="N160" s="11"/>
      <c r="O160" s="8"/>
      <c r="P160" s="12"/>
      <c r="Q160" s="8"/>
      <c r="R160" s="8"/>
      <c r="S160" s="9" t="str">
        <f aca="false">IF(E160="","",IF(AND(OR(D160="Restaurante",D160="Ingresso"),OR(K160="",K160="A decidir")),"Reserva a decidir; ","")&amp;IF(AND(D160="Ingresso",K160="Não"),"Ingresso não comprado; ","")&amp;IF(AND(K160="Sim",L160=""),"Reserva sem código; ","")&amp;IF(I160="Sim","Fechado no dia; ","")&amp;IF(AND(B160&lt;&gt;"",G160&lt;&gt;"",B160&lt;G160),"Antes de abrir; ","")&amp;IF(AND(B160&lt;&gt;"",H160&lt;&gt;"",B160+C160/1440&gt;H160),"Depois de fechar; ",""))</f>
        <v/>
      </c>
    </row>
    <row r="161" customFormat="false" ht="15" hidden="false" customHeight="false" outlineLevel="0" collapsed="false">
      <c r="A161" s="7"/>
      <c r="B161" s="10"/>
      <c r="C161" s="11"/>
      <c r="D161" s="8"/>
      <c r="E161" s="8"/>
      <c r="F161" s="8"/>
      <c r="G161" s="10"/>
      <c r="H161" s="10"/>
      <c r="I161" s="8"/>
      <c r="J161" s="11"/>
      <c r="K161" s="8"/>
      <c r="L161" s="8"/>
      <c r="M161" s="8"/>
      <c r="N161" s="11"/>
      <c r="O161" s="8"/>
      <c r="P161" s="12"/>
      <c r="Q161" s="8"/>
      <c r="R161" s="8"/>
      <c r="S161" s="9" t="str">
        <f aca="false">IF(E161="","",IF(AND(OR(D161="Restaurante",D161="Ingresso"),OR(K161="",K161="A decidir")),"Reserva a decidir; ","")&amp;IF(AND(D161="Ingresso",K161="Não"),"Ingresso não comprado; ","")&amp;IF(AND(K161="Sim",L161=""),"Reserva sem código; ","")&amp;IF(I161="Sim","Fechado no dia; ","")&amp;IF(AND(B161&lt;&gt;"",G161&lt;&gt;"",B161&lt;G161),"Antes de abrir; ","")&amp;IF(AND(B161&lt;&gt;"",H161&lt;&gt;"",B161+C161/1440&gt;H161),"Depois de fechar; ",""))</f>
        <v/>
      </c>
    </row>
    <row r="162" customFormat="false" ht="15" hidden="false" customHeight="false" outlineLevel="0" collapsed="false">
      <c r="A162" s="7"/>
      <c r="B162" s="10"/>
      <c r="C162" s="11"/>
      <c r="D162" s="8"/>
      <c r="E162" s="8"/>
      <c r="F162" s="8"/>
      <c r="G162" s="10"/>
      <c r="H162" s="10"/>
      <c r="I162" s="8"/>
      <c r="J162" s="11"/>
      <c r="K162" s="8"/>
      <c r="L162" s="8"/>
      <c r="M162" s="8"/>
      <c r="N162" s="11"/>
      <c r="O162" s="8"/>
      <c r="P162" s="12"/>
      <c r="Q162" s="8"/>
      <c r="R162" s="8"/>
      <c r="S162" s="9" t="str">
        <f aca="false">IF(E162="","",IF(AND(OR(D162="Restaurante",D162="Ingresso"),OR(K162="",K162="A decidir")),"Reserva a decidir; ","")&amp;IF(AND(D162="Ingresso",K162="Não"),"Ingresso não comprado; ","")&amp;IF(AND(K162="Sim",L162=""),"Reserva sem código; ","")&amp;IF(I162="Sim","Fechado no dia; ","")&amp;IF(AND(B162&lt;&gt;"",G162&lt;&gt;"",B162&lt;G162),"Antes de abrir; ","")&amp;IF(AND(B162&lt;&gt;"",H162&lt;&gt;"",B162+C162/1440&gt;H162),"Depois de fechar; ",""))</f>
        <v/>
      </c>
    </row>
    <row r="163" customFormat="false" ht="15" hidden="false" customHeight="false" outlineLevel="0" collapsed="false">
      <c r="A163" s="7"/>
      <c r="B163" s="10"/>
      <c r="C163" s="11"/>
      <c r="D163" s="8"/>
      <c r="E163" s="8"/>
      <c r="F163" s="8"/>
      <c r="G163" s="10"/>
      <c r="H163" s="10"/>
      <c r="I163" s="8"/>
      <c r="J163" s="11"/>
      <c r="K163" s="8"/>
      <c r="L163" s="8"/>
      <c r="M163" s="8"/>
      <c r="N163" s="11"/>
      <c r="O163" s="8"/>
      <c r="P163" s="12"/>
      <c r="Q163" s="8"/>
      <c r="R163" s="8"/>
      <c r="S163" s="9" t="str">
        <f aca="false">IF(E163="","",IF(AND(OR(D163="Restaurante",D163="Ingresso"),OR(K163="",K163="A decidir")),"Reserva a decidir; ","")&amp;IF(AND(D163="Ingresso",K163="Não"),"Ingresso não comprado; ","")&amp;IF(AND(K163="Sim",L163=""),"Reserva sem código; ","")&amp;IF(I163="Sim","Fechado no dia; ","")&amp;IF(AND(B163&lt;&gt;"",G163&lt;&gt;"",B163&lt;G163),"Antes de abrir; ","")&amp;IF(AND(B163&lt;&gt;"",H163&lt;&gt;"",B163+C163/1440&gt;H163),"Depois de fechar; ",""))</f>
        <v/>
      </c>
    </row>
    <row r="164" customFormat="false" ht="15" hidden="false" customHeight="false" outlineLevel="0" collapsed="false">
      <c r="A164" s="7"/>
      <c r="B164" s="10"/>
      <c r="C164" s="11"/>
      <c r="D164" s="8"/>
      <c r="E164" s="8"/>
      <c r="F164" s="8"/>
      <c r="G164" s="10"/>
      <c r="H164" s="10"/>
      <c r="I164" s="8"/>
      <c r="J164" s="11"/>
      <c r="K164" s="8"/>
      <c r="L164" s="8"/>
      <c r="M164" s="8"/>
      <c r="N164" s="11"/>
      <c r="O164" s="8"/>
      <c r="P164" s="12"/>
      <c r="Q164" s="8"/>
      <c r="R164" s="8"/>
      <c r="S164" s="9" t="str">
        <f aca="false">IF(E164="","",IF(AND(OR(D164="Restaurante",D164="Ingresso"),OR(K164="",K164="A decidir")),"Reserva a decidir; ","")&amp;IF(AND(D164="Ingresso",K164="Não"),"Ingresso não comprado; ","")&amp;IF(AND(K164="Sim",L164=""),"Reserva sem código; ","")&amp;IF(I164="Sim","Fechado no dia; ","")&amp;IF(AND(B164&lt;&gt;"",G164&lt;&gt;"",B164&lt;G164),"Antes de abrir; ","")&amp;IF(AND(B164&lt;&gt;"",H164&lt;&gt;"",B164+C164/1440&gt;H164),"Depois de fechar; ",""))</f>
        <v/>
      </c>
    </row>
    <row r="165" customFormat="false" ht="15" hidden="false" customHeight="false" outlineLevel="0" collapsed="false">
      <c r="A165" s="7"/>
      <c r="B165" s="10"/>
      <c r="C165" s="11"/>
      <c r="D165" s="8"/>
      <c r="E165" s="8"/>
      <c r="F165" s="8"/>
      <c r="G165" s="10"/>
      <c r="H165" s="10"/>
      <c r="I165" s="8"/>
      <c r="J165" s="11"/>
      <c r="K165" s="8"/>
      <c r="L165" s="8"/>
      <c r="M165" s="8"/>
      <c r="N165" s="11"/>
      <c r="O165" s="8"/>
      <c r="P165" s="12"/>
      <c r="Q165" s="8"/>
      <c r="R165" s="8"/>
      <c r="S165" s="9" t="str">
        <f aca="false">IF(E165="","",IF(AND(OR(D165="Restaurante",D165="Ingresso"),OR(K165="",K165="A decidir")),"Reserva a decidir; ","")&amp;IF(AND(D165="Ingresso",K165="Não"),"Ingresso não comprado; ","")&amp;IF(AND(K165="Sim",L165=""),"Reserva sem código; ","")&amp;IF(I165="Sim","Fechado no dia; ","")&amp;IF(AND(B165&lt;&gt;"",G165&lt;&gt;"",B165&lt;G165),"Antes de abrir; ","")&amp;IF(AND(B165&lt;&gt;"",H165&lt;&gt;"",B165+C165/1440&gt;H165),"Depois de fechar; ",""))</f>
        <v/>
      </c>
    </row>
    <row r="166" customFormat="false" ht="15" hidden="false" customHeight="false" outlineLevel="0" collapsed="false">
      <c r="A166" s="7"/>
      <c r="B166" s="10"/>
      <c r="C166" s="11"/>
      <c r="D166" s="8"/>
      <c r="E166" s="8"/>
      <c r="F166" s="8"/>
      <c r="G166" s="10"/>
      <c r="H166" s="10"/>
      <c r="I166" s="8"/>
      <c r="J166" s="11"/>
      <c r="K166" s="8"/>
      <c r="L166" s="8"/>
      <c r="M166" s="8"/>
      <c r="N166" s="11"/>
      <c r="O166" s="8"/>
      <c r="P166" s="12"/>
      <c r="Q166" s="8"/>
      <c r="R166" s="8"/>
      <c r="S166" s="9" t="str">
        <f aca="false">IF(E166="","",IF(AND(OR(D166="Restaurante",D166="Ingresso"),OR(K166="",K166="A decidir")),"Reserva a decidir; ","")&amp;IF(AND(D166="Ingresso",K166="Não"),"Ingresso não comprado; ","")&amp;IF(AND(K166="Sim",L166=""),"Reserva sem código; ","")&amp;IF(I166="Sim","Fechado no dia; ","")&amp;IF(AND(B166&lt;&gt;"",G166&lt;&gt;"",B166&lt;G166),"Antes de abrir; ","")&amp;IF(AND(B166&lt;&gt;"",H166&lt;&gt;"",B166+C166/1440&gt;H166),"Depois de fechar; ",""))</f>
        <v/>
      </c>
    </row>
    <row r="167" customFormat="false" ht="15" hidden="false" customHeight="false" outlineLevel="0" collapsed="false">
      <c r="A167" s="7"/>
      <c r="B167" s="10"/>
      <c r="C167" s="11"/>
      <c r="D167" s="8"/>
      <c r="E167" s="8"/>
      <c r="F167" s="8"/>
      <c r="G167" s="10"/>
      <c r="H167" s="10"/>
      <c r="I167" s="8"/>
      <c r="J167" s="11"/>
      <c r="K167" s="8"/>
      <c r="L167" s="8"/>
      <c r="M167" s="8"/>
      <c r="N167" s="11"/>
      <c r="O167" s="8"/>
      <c r="P167" s="12"/>
      <c r="Q167" s="8"/>
      <c r="R167" s="8"/>
      <c r="S167" s="9" t="str">
        <f aca="false">IF(E167="","",IF(AND(OR(D167="Restaurante",D167="Ingresso"),OR(K167="",K167="A decidir")),"Reserva a decidir; ","")&amp;IF(AND(D167="Ingresso",K167="Não"),"Ingresso não comprado; ","")&amp;IF(AND(K167="Sim",L167=""),"Reserva sem código; ","")&amp;IF(I167="Sim","Fechado no dia; ","")&amp;IF(AND(B167&lt;&gt;"",G167&lt;&gt;"",B167&lt;G167),"Antes de abrir; ","")&amp;IF(AND(B167&lt;&gt;"",H167&lt;&gt;"",B167+C167/1440&gt;H167),"Depois de fechar; ",""))</f>
        <v/>
      </c>
    </row>
    <row r="168" customFormat="false" ht="15" hidden="false" customHeight="false" outlineLevel="0" collapsed="false">
      <c r="A168" s="7"/>
      <c r="B168" s="10"/>
      <c r="C168" s="11"/>
      <c r="D168" s="8"/>
      <c r="E168" s="8"/>
      <c r="F168" s="8"/>
      <c r="G168" s="10"/>
      <c r="H168" s="10"/>
      <c r="I168" s="8"/>
      <c r="J168" s="11"/>
      <c r="K168" s="8"/>
      <c r="L168" s="8"/>
      <c r="M168" s="8"/>
      <c r="N168" s="11"/>
      <c r="O168" s="8"/>
      <c r="P168" s="12"/>
      <c r="Q168" s="8"/>
      <c r="R168" s="8"/>
      <c r="S168" s="9" t="str">
        <f aca="false">IF(E168="","",IF(AND(OR(D168="Restaurante",D168="Ingresso"),OR(K168="",K168="A decidir")),"Reserva a decidir; ","")&amp;IF(AND(D168="Ingresso",K168="Não"),"Ingresso não comprado; ","")&amp;IF(AND(K168="Sim",L168=""),"Reserva sem código; ","")&amp;IF(I168="Sim","Fechado no dia; ","")&amp;IF(AND(B168&lt;&gt;"",G168&lt;&gt;"",B168&lt;G168),"Antes de abrir; ","")&amp;IF(AND(B168&lt;&gt;"",H168&lt;&gt;"",B168+C168/1440&gt;H168),"Depois de fechar; ",""))</f>
        <v/>
      </c>
    </row>
    <row r="169" customFormat="false" ht="15" hidden="false" customHeight="false" outlineLevel="0" collapsed="false">
      <c r="A169" s="7"/>
      <c r="B169" s="10"/>
      <c r="C169" s="11"/>
      <c r="D169" s="8"/>
      <c r="E169" s="8"/>
      <c r="F169" s="8"/>
      <c r="G169" s="10"/>
      <c r="H169" s="10"/>
      <c r="I169" s="8"/>
      <c r="J169" s="11"/>
      <c r="K169" s="8"/>
      <c r="L169" s="8"/>
      <c r="M169" s="8"/>
      <c r="N169" s="11"/>
      <c r="O169" s="8"/>
      <c r="P169" s="12"/>
      <c r="Q169" s="8"/>
      <c r="R169" s="8"/>
      <c r="S169" s="9" t="str">
        <f aca="false">IF(E169="","",IF(AND(OR(D169="Restaurante",D169="Ingresso"),OR(K169="",K169="A decidir")),"Reserva a decidir; ","")&amp;IF(AND(D169="Ingresso",K169="Não"),"Ingresso não comprado; ","")&amp;IF(AND(K169="Sim",L169=""),"Reserva sem código; ","")&amp;IF(I169="Sim","Fechado no dia; ","")&amp;IF(AND(B169&lt;&gt;"",G169&lt;&gt;"",B169&lt;G169),"Antes de abrir; ","")&amp;IF(AND(B169&lt;&gt;"",H169&lt;&gt;"",B169+C169/1440&gt;H169),"Depois de fechar; ",""))</f>
        <v/>
      </c>
    </row>
    <row r="170" customFormat="false" ht="15" hidden="false" customHeight="false" outlineLevel="0" collapsed="false">
      <c r="A170" s="7"/>
      <c r="B170" s="10"/>
      <c r="C170" s="11"/>
      <c r="D170" s="8"/>
      <c r="E170" s="8"/>
      <c r="F170" s="8"/>
      <c r="G170" s="10"/>
      <c r="H170" s="10"/>
      <c r="I170" s="8"/>
      <c r="J170" s="11"/>
      <c r="K170" s="8"/>
      <c r="L170" s="8"/>
      <c r="M170" s="8"/>
      <c r="N170" s="11"/>
      <c r="O170" s="8"/>
      <c r="P170" s="12"/>
      <c r="Q170" s="8"/>
      <c r="R170" s="8"/>
      <c r="S170" s="9" t="str">
        <f aca="false">IF(E170="","",IF(AND(OR(D170="Restaurante",D170="Ingresso"),OR(K170="",K170="A decidir")),"Reserva a decidir; ","")&amp;IF(AND(D170="Ingresso",K170="Não"),"Ingresso não comprado; ","")&amp;IF(AND(K170="Sim",L170=""),"Reserva sem código; ","")&amp;IF(I170="Sim","Fechado no dia; ","")&amp;IF(AND(B170&lt;&gt;"",G170&lt;&gt;"",B170&lt;G170),"Antes de abrir; ","")&amp;IF(AND(B170&lt;&gt;"",H170&lt;&gt;"",B170+C170/1440&gt;H170),"Depois de fechar; ",""))</f>
        <v/>
      </c>
    </row>
    <row r="171" customFormat="false" ht="15" hidden="false" customHeight="false" outlineLevel="0" collapsed="false">
      <c r="A171" s="7"/>
      <c r="B171" s="10"/>
      <c r="C171" s="11"/>
      <c r="D171" s="8"/>
      <c r="E171" s="8"/>
      <c r="F171" s="8"/>
      <c r="G171" s="10"/>
      <c r="H171" s="10"/>
      <c r="I171" s="8"/>
      <c r="J171" s="11"/>
      <c r="K171" s="8"/>
      <c r="L171" s="8"/>
      <c r="M171" s="8"/>
      <c r="N171" s="11"/>
      <c r="O171" s="8"/>
      <c r="P171" s="12"/>
      <c r="Q171" s="8"/>
      <c r="R171" s="8"/>
      <c r="S171" s="9" t="str">
        <f aca="false">IF(E171="","",IF(AND(OR(D171="Restaurante",D171="Ingresso"),OR(K171="",K171="A decidir")),"Reserva a decidir; ","")&amp;IF(AND(D171="Ingresso",K171="Não"),"Ingresso não comprado; ","")&amp;IF(AND(K171="Sim",L171=""),"Reserva sem código; ","")&amp;IF(I171="Sim","Fechado no dia; ","")&amp;IF(AND(B171&lt;&gt;"",G171&lt;&gt;"",B171&lt;G171),"Antes de abrir; ","")&amp;IF(AND(B171&lt;&gt;"",H171&lt;&gt;"",B171+C171/1440&gt;H171),"Depois de fechar; ",""))</f>
        <v/>
      </c>
    </row>
    <row r="172" customFormat="false" ht="15" hidden="false" customHeight="false" outlineLevel="0" collapsed="false">
      <c r="A172" s="7"/>
      <c r="B172" s="10"/>
      <c r="C172" s="11"/>
      <c r="D172" s="8"/>
      <c r="E172" s="8"/>
      <c r="F172" s="8"/>
      <c r="G172" s="10"/>
      <c r="H172" s="10"/>
      <c r="I172" s="8"/>
      <c r="J172" s="11"/>
      <c r="K172" s="8"/>
      <c r="L172" s="8"/>
      <c r="M172" s="8"/>
      <c r="N172" s="11"/>
      <c r="O172" s="8"/>
      <c r="P172" s="12"/>
      <c r="Q172" s="8"/>
      <c r="R172" s="8"/>
      <c r="S172" s="9" t="str">
        <f aca="false">IF(E172="","",IF(AND(OR(D172="Restaurante",D172="Ingresso"),OR(K172="",K172="A decidir")),"Reserva a decidir; ","")&amp;IF(AND(D172="Ingresso",K172="Não"),"Ingresso não comprado; ","")&amp;IF(AND(K172="Sim",L172=""),"Reserva sem código; ","")&amp;IF(I172="Sim","Fechado no dia; ","")&amp;IF(AND(B172&lt;&gt;"",G172&lt;&gt;"",B172&lt;G172),"Antes de abrir; ","")&amp;IF(AND(B172&lt;&gt;"",H172&lt;&gt;"",B172+C172/1440&gt;H172),"Depois de fechar; ",""))</f>
        <v/>
      </c>
    </row>
    <row r="173" customFormat="false" ht="15" hidden="false" customHeight="false" outlineLevel="0" collapsed="false">
      <c r="A173" s="7"/>
      <c r="B173" s="10"/>
      <c r="C173" s="11"/>
      <c r="D173" s="8"/>
      <c r="E173" s="8"/>
      <c r="F173" s="8"/>
      <c r="G173" s="10"/>
      <c r="H173" s="10"/>
      <c r="I173" s="8"/>
      <c r="J173" s="11"/>
      <c r="K173" s="8"/>
      <c r="L173" s="8"/>
      <c r="M173" s="8"/>
      <c r="N173" s="11"/>
      <c r="O173" s="8"/>
      <c r="P173" s="12"/>
      <c r="Q173" s="8"/>
      <c r="R173" s="8"/>
      <c r="S173" s="9" t="str">
        <f aca="false">IF(E173="","",IF(AND(OR(D173="Restaurante",D173="Ingresso"),OR(K173="",K173="A decidir")),"Reserva a decidir; ","")&amp;IF(AND(D173="Ingresso",K173="Não"),"Ingresso não comprado; ","")&amp;IF(AND(K173="Sim",L173=""),"Reserva sem código; ","")&amp;IF(I173="Sim","Fechado no dia; ","")&amp;IF(AND(B173&lt;&gt;"",G173&lt;&gt;"",B173&lt;G173),"Antes de abrir; ","")&amp;IF(AND(B173&lt;&gt;"",H173&lt;&gt;"",B173+C173/1440&gt;H173),"Depois de fechar; ",""))</f>
        <v/>
      </c>
    </row>
    <row r="174" customFormat="false" ht="15" hidden="false" customHeight="false" outlineLevel="0" collapsed="false">
      <c r="A174" s="7"/>
      <c r="B174" s="10"/>
      <c r="C174" s="11"/>
      <c r="D174" s="8"/>
      <c r="E174" s="8"/>
      <c r="F174" s="8"/>
      <c r="G174" s="10"/>
      <c r="H174" s="10"/>
      <c r="I174" s="8"/>
      <c r="J174" s="11"/>
      <c r="K174" s="8"/>
      <c r="L174" s="8"/>
      <c r="M174" s="8"/>
      <c r="N174" s="11"/>
      <c r="O174" s="8"/>
      <c r="P174" s="12"/>
      <c r="Q174" s="8"/>
      <c r="R174" s="8"/>
      <c r="S174" s="9" t="str">
        <f aca="false">IF(E174="","",IF(AND(OR(D174="Restaurante",D174="Ingresso"),OR(K174="",K174="A decidir")),"Reserva a decidir; ","")&amp;IF(AND(D174="Ingresso",K174="Não"),"Ingresso não comprado; ","")&amp;IF(AND(K174="Sim",L174=""),"Reserva sem código; ","")&amp;IF(I174="Sim","Fechado no dia; ","")&amp;IF(AND(B174&lt;&gt;"",G174&lt;&gt;"",B174&lt;G174),"Antes de abrir; ","")&amp;IF(AND(B174&lt;&gt;"",H174&lt;&gt;"",B174+C174/1440&gt;H174),"Depois de fechar; ",""))</f>
        <v/>
      </c>
    </row>
    <row r="175" customFormat="false" ht="15" hidden="false" customHeight="false" outlineLevel="0" collapsed="false">
      <c r="A175" s="7"/>
      <c r="B175" s="10"/>
      <c r="C175" s="11"/>
      <c r="D175" s="8"/>
      <c r="E175" s="8"/>
      <c r="F175" s="8"/>
      <c r="G175" s="10"/>
      <c r="H175" s="10"/>
      <c r="I175" s="8"/>
      <c r="J175" s="11"/>
      <c r="K175" s="8"/>
      <c r="L175" s="8"/>
      <c r="M175" s="8"/>
      <c r="N175" s="11"/>
      <c r="O175" s="8"/>
      <c r="P175" s="12"/>
      <c r="Q175" s="8"/>
      <c r="R175" s="8"/>
      <c r="S175" s="9" t="str">
        <f aca="false">IF(E175="","",IF(AND(OR(D175="Restaurante",D175="Ingresso"),OR(K175="",K175="A decidir")),"Reserva a decidir; ","")&amp;IF(AND(D175="Ingresso",K175="Não"),"Ingresso não comprado; ","")&amp;IF(AND(K175="Sim",L175=""),"Reserva sem código; ","")&amp;IF(I175="Sim","Fechado no dia; ","")&amp;IF(AND(B175&lt;&gt;"",G175&lt;&gt;"",B175&lt;G175),"Antes de abrir; ","")&amp;IF(AND(B175&lt;&gt;"",H175&lt;&gt;"",B175+C175/1440&gt;H175),"Depois de fechar; ",""))</f>
        <v/>
      </c>
    </row>
    <row r="176" customFormat="false" ht="15" hidden="false" customHeight="false" outlineLevel="0" collapsed="false">
      <c r="A176" s="7"/>
      <c r="B176" s="10"/>
      <c r="C176" s="11"/>
      <c r="D176" s="8"/>
      <c r="E176" s="8"/>
      <c r="F176" s="8"/>
      <c r="G176" s="10"/>
      <c r="H176" s="10"/>
      <c r="I176" s="8"/>
      <c r="J176" s="11"/>
      <c r="K176" s="8"/>
      <c r="L176" s="8"/>
      <c r="M176" s="8"/>
      <c r="N176" s="11"/>
      <c r="O176" s="8"/>
      <c r="P176" s="12"/>
      <c r="Q176" s="8"/>
      <c r="R176" s="8"/>
      <c r="S176" s="9" t="str">
        <f aca="false">IF(E176="","",IF(AND(OR(D176="Restaurante",D176="Ingresso"),OR(K176="",K176="A decidir")),"Reserva a decidir; ","")&amp;IF(AND(D176="Ingresso",K176="Não"),"Ingresso não comprado; ","")&amp;IF(AND(K176="Sim",L176=""),"Reserva sem código; ","")&amp;IF(I176="Sim","Fechado no dia; ","")&amp;IF(AND(B176&lt;&gt;"",G176&lt;&gt;"",B176&lt;G176),"Antes de abrir; ","")&amp;IF(AND(B176&lt;&gt;"",H176&lt;&gt;"",B176+C176/1440&gt;H176),"Depois de fechar; ",""))</f>
        <v/>
      </c>
    </row>
    <row r="177" customFormat="false" ht="15" hidden="false" customHeight="false" outlineLevel="0" collapsed="false">
      <c r="A177" s="7"/>
      <c r="B177" s="10"/>
      <c r="C177" s="11"/>
      <c r="D177" s="8"/>
      <c r="E177" s="8"/>
      <c r="F177" s="8"/>
      <c r="G177" s="10"/>
      <c r="H177" s="10"/>
      <c r="I177" s="8"/>
      <c r="J177" s="11"/>
      <c r="K177" s="8"/>
      <c r="L177" s="8"/>
      <c r="M177" s="8"/>
      <c r="N177" s="11"/>
      <c r="O177" s="8"/>
      <c r="P177" s="12"/>
      <c r="Q177" s="8"/>
      <c r="R177" s="8"/>
      <c r="S177" s="9" t="str">
        <f aca="false">IF(E177="","",IF(AND(OR(D177="Restaurante",D177="Ingresso"),OR(K177="",K177="A decidir")),"Reserva a decidir; ","")&amp;IF(AND(D177="Ingresso",K177="Não"),"Ingresso não comprado; ","")&amp;IF(AND(K177="Sim",L177=""),"Reserva sem código; ","")&amp;IF(I177="Sim","Fechado no dia; ","")&amp;IF(AND(B177&lt;&gt;"",G177&lt;&gt;"",B177&lt;G177),"Antes de abrir; ","")&amp;IF(AND(B177&lt;&gt;"",H177&lt;&gt;"",B177+C177/1440&gt;H177),"Depois de fechar; ",""))</f>
        <v/>
      </c>
    </row>
    <row r="178" customFormat="false" ht="15" hidden="false" customHeight="false" outlineLevel="0" collapsed="false">
      <c r="A178" s="7"/>
      <c r="B178" s="10"/>
      <c r="C178" s="11"/>
      <c r="D178" s="8"/>
      <c r="E178" s="8"/>
      <c r="F178" s="8"/>
      <c r="G178" s="10"/>
      <c r="H178" s="10"/>
      <c r="I178" s="8"/>
      <c r="J178" s="11"/>
      <c r="K178" s="8"/>
      <c r="L178" s="8"/>
      <c r="M178" s="8"/>
      <c r="N178" s="11"/>
      <c r="O178" s="8"/>
      <c r="P178" s="12"/>
      <c r="Q178" s="8"/>
      <c r="R178" s="8"/>
      <c r="S178" s="9" t="str">
        <f aca="false">IF(E178="","",IF(AND(OR(D178="Restaurante",D178="Ingresso"),OR(K178="",K178="A decidir")),"Reserva a decidir; ","")&amp;IF(AND(D178="Ingresso",K178="Não"),"Ingresso não comprado; ","")&amp;IF(AND(K178="Sim",L178=""),"Reserva sem código; ","")&amp;IF(I178="Sim","Fechado no dia; ","")&amp;IF(AND(B178&lt;&gt;"",G178&lt;&gt;"",B178&lt;G178),"Antes de abrir; ","")&amp;IF(AND(B178&lt;&gt;"",H178&lt;&gt;"",B178+C178/1440&gt;H178),"Depois de fechar; ",""))</f>
        <v/>
      </c>
    </row>
    <row r="179" customFormat="false" ht="15" hidden="false" customHeight="false" outlineLevel="0" collapsed="false">
      <c r="A179" s="7"/>
      <c r="B179" s="10"/>
      <c r="C179" s="11"/>
      <c r="D179" s="8"/>
      <c r="E179" s="8"/>
      <c r="F179" s="8"/>
      <c r="G179" s="10"/>
      <c r="H179" s="10"/>
      <c r="I179" s="8"/>
      <c r="J179" s="11"/>
      <c r="K179" s="8"/>
      <c r="L179" s="8"/>
      <c r="M179" s="8"/>
      <c r="N179" s="11"/>
      <c r="O179" s="8"/>
      <c r="P179" s="12"/>
      <c r="Q179" s="8"/>
      <c r="R179" s="8"/>
      <c r="S179" s="9" t="str">
        <f aca="false">IF(E179="","",IF(AND(OR(D179="Restaurante",D179="Ingresso"),OR(K179="",K179="A decidir")),"Reserva a decidir; ","")&amp;IF(AND(D179="Ingresso",K179="Não"),"Ingresso não comprado; ","")&amp;IF(AND(K179="Sim",L179=""),"Reserva sem código; ","")&amp;IF(I179="Sim","Fechado no dia; ","")&amp;IF(AND(B179&lt;&gt;"",G179&lt;&gt;"",B179&lt;G179),"Antes de abrir; ","")&amp;IF(AND(B179&lt;&gt;"",H179&lt;&gt;"",B179+C179/1440&gt;H179),"Depois de fechar; ",""))</f>
        <v/>
      </c>
    </row>
    <row r="180" customFormat="false" ht="15" hidden="false" customHeight="false" outlineLevel="0" collapsed="false">
      <c r="A180" s="7"/>
      <c r="B180" s="10"/>
      <c r="C180" s="11"/>
      <c r="D180" s="8"/>
      <c r="E180" s="8"/>
      <c r="F180" s="8"/>
      <c r="G180" s="10"/>
      <c r="H180" s="10"/>
      <c r="I180" s="8"/>
      <c r="J180" s="11"/>
      <c r="K180" s="8"/>
      <c r="L180" s="8"/>
      <c r="M180" s="8"/>
      <c r="N180" s="11"/>
      <c r="O180" s="8"/>
      <c r="P180" s="12"/>
      <c r="Q180" s="8"/>
      <c r="R180" s="8"/>
      <c r="S180" s="9" t="str">
        <f aca="false">IF(E180="","",IF(AND(OR(D180="Restaurante",D180="Ingresso"),OR(K180="",K180="A decidir")),"Reserva a decidir; ","")&amp;IF(AND(D180="Ingresso",K180="Não"),"Ingresso não comprado; ","")&amp;IF(AND(K180="Sim",L180=""),"Reserva sem código; ","")&amp;IF(I180="Sim","Fechado no dia; ","")&amp;IF(AND(B180&lt;&gt;"",G180&lt;&gt;"",B180&lt;G180),"Antes de abrir; ","")&amp;IF(AND(B180&lt;&gt;"",H180&lt;&gt;"",B180+C180/1440&gt;H180),"Depois de fechar; ",""))</f>
        <v/>
      </c>
    </row>
    <row r="181" customFormat="false" ht="15" hidden="false" customHeight="false" outlineLevel="0" collapsed="false">
      <c r="A181" s="7"/>
      <c r="B181" s="10"/>
      <c r="C181" s="11"/>
      <c r="D181" s="8"/>
      <c r="E181" s="8"/>
      <c r="F181" s="8"/>
      <c r="G181" s="10"/>
      <c r="H181" s="10"/>
      <c r="I181" s="8"/>
      <c r="J181" s="11"/>
      <c r="K181" s="8"/>
      <c r="L181" s="8"/>
      <c r="M181" s="8"/>
      <c r="N181" s="11"/>
      <c r="O181" s="8"/>
      <c r="P181" s="12"/>
      <c r="Q181" s="8"/>
      <c r="R181" s="8"/>
      <c r="S181" s="9" t="str">
        <f aca="false">IF(E181="","",IF(AND(OR(D181="Restaurante",D181="Ingresso"),OR(K181="",K181="A decidir")),"Reserva a decidir; ","")&amp;IF(AND(D181="Ingresso",K181="Não"),"Ingresso não comprado; ","")&amp;IF(AND(K181="Sim",L181=""),"Reserva sem código; ","")&amp;IF(I181="Sim","Fechado no dia; ","")&amp;IF(AND(B181&lt;&gt;"",G181&lt;&gt;"",B181&lt;G181),"Antes de abrir; ","")&amp;IF(AND(B181&lt;&gt;"",H181&lt;&gt;"",B181+C181/1440&gt;H181),"Depois de fechar; ",""))</f>
        <v/>
      </c>
    </row>
    <row r="182" customFormat="false" ht="15" hidden="false" customHeight="false" outlineLevel="0" collapsed="false">
      <c r="A182" s="7"/>
      <c r="B182" s="10"/>
      <c r="C182" s="11"/>
      <c r="D182" s="8"/>
      <c r="E182" s="8"/>
      <c r="F182" s="8"/>
      <c r="G182" s="10"/>
      <c r="H182" s="10"/>
      <c r="I182" s="8"/>
      <c r="J182" s="11"/>
      <c r="K182" s="8"/>
      <c r="L182" s="8"/>
      <c r="M182" s="8"/>
      <c r="N182" s="11"/>
      <c r="O182" s="8"/>
      <c r="P182" s="12"/>
      <c r="Q182" s="8"/>
      <c r="R182" s="8"/>
      <c r="S182" s="9" t="str">
        <f aca="false">IF(E182="","",IF(AND(OR(D182="Restaurante",D182="Ingresso"),OR(K182="",K182="A decidir")),"Reserva a decidir; ","")&amp;IF(AND(D182="Ingresso",K182="Não"),"Ingresso não comprado; ","")&amp;IF(AND(K182="Sim",L182=""),"Reserva sem código; ","")&amp;IF(I182="Sim","Fechado no dia; ","")&amp;IF(AND(B182&lt;&gt;"",G182&lt;&gt;"",B182&lt;G182),"Antes de abrir; ","")&amp;IF(AND(B182&lt;&gt;"",H182&lt;&gt;"",B182+C182/1440&gt;H182),"Depois de fechar; ",""))</f>
        <v/>
      </c>
    </row>
    <row r="183" customFormat="false" ht="15" hidden="false" customHeight="false" outlineLevel="0" collapsed="false">
      <c r="A183" s="7"/>
      <c r="B183" s="10"/>
      <c r="C183" s="11"/>
      <c r="D183" s="8"/>
      <c r="E183" s="8"/>
      <c r="F183" s="8"/>
      <c r="G183" s="10"/>
      <c r="H183" s="10"/>
      <c r="I183" s="8"/>
      <c r="J183" s="11"/>
      <c r="K183" s="8"/>
      <c r="L183" s="8"/>
      <c r="M183" s="8"/>
      <c r="N183" s="11"/>
      <c r="O183" s="8"/>
      <c r="P183" s="12"/>
      <c r="Q183" s="8"/>
      <c r="R183" s="8"/>
      <c r="S183" s="9" t="str">
        <f aca="false">IF(E183="","",IF(AND(OR(D183="Restaurante",D183="Ingresso"),OR(K183="",K183="A decidir")),"Reserva a decidir; ","")&amp;IF(AND(D183="Ingresso",K183="Não"),"Ingresso não comprado; ","")&amp;IF(AND(K183="Sim",L183=""),"Reserva sem código; ","")&amp;IF(I183="Sim","Fechado no dia; ","")&amp;IF(AND(B183&lt;&gt;"",G183&lt;&gt;"",B183&lt;G183),"Antes de abrir; ","")&amp;IF(AND(B183&lt;&gt;"",H183&lt;&gt;"",B183+C183/1440&gt;H183),"Depois de fechar; ",""))</f>
        <v/>
      </c>
    </row>
    <row r="184" customFormat="false" ht="15" hidden="false" customHeight="false" outlineLevel="0" collapsed="false">
      <c r="A184" s="7"/>
      <c r="B184" s="10"/>
      <c r="C184" s="11"/>
      <c r="D184" s="8"/>
      <c r="E184" s="8"/>
      <c r="F184" s="8"/>
      <c r="G184" s="10"/>
      <c r="H184" s="10"/>
      <c r="I184" s="8"/>
      <c r="J184" s="11"/>
      <c r="K184" s="8"/>
      <c r="L184" s="8"/>
      <c r="M184" s="8"/>
      <c r="N184" s="11"/>
      <c r="O184" s="8"/>
      <c r="P184" s="12"/>
      <c r="Q184" s="8"/>
      <c r="R184" s="8"/>
      <c r="S184" s="9" t="str">
        <f aca="false">IF(E184="","",IF(AND(OR(D184="Restaurante",D184="Ingresso"),OR(K184="",K184="A decidir")),"Reserva a decidir; ","")&amp;IF(AND(D184="Ingresso",K184="Não"),"Ingresso não comprado; ","")&amp;IF(AND(K184="Sim",L184=""),"Reserva sem código; ","")&amp;IF(I184="Sim","Fechado no dia; ","")&amp;IF(AND(B184&lt;&gt;"",G184&lt;&gt;"",B184&lt;G184),"Antes de abrir; ","")&amp;IF(AND(B184&lt;&gt;"",H184&lt;&gt;"",B184+C184/1440&gt;H184),"Depois de fechar; ",""))</f>
        <v/>
      </c>
    </row>
    <row r="185" customFormat="false" ht="15" hidden="false" customHeight="false" outlineLevel="0" collapsed="false">
      <c r="A185" s="7"/>
      <c r="B185" s="10"/>
      <c r="C185" s="11"/>
      <c r="D185" s="8"/>
      <c r="E185" s="8"/>
      <c r="F185" s="8"/>
      <c r="G185" s="10"/>
      <c r="H185" s="10"/>
      <c r="I185" s="8"/>
      <c r="J185" s="11"/>
      <c r="K185" s="8"/>
      <c r="L185" s="8"/>
      <c r="M185" s="8"/>
      <c r="N185" s="11"/>
      <c r="O185" s="8"/>
      <c r="P185" s="12"/>
      <c r="Q185" s="8"/>
      <c r="R185" s="8"/>
      <c r="S185" s="9" t="str">
        <f aca="false">IF(E185="","",IF(AND(OR(D185="Restaurante",D185="Ingresso"),OR(K185="",K185="A decidir")),"Reserva a decidir; ","")&amp;IF(AND(D185="Ingresso",K185="Não"),"Ingresso não comprado; ","")&amp;IF(AND(K185="Sim",L185=""),"Reserva sem código; ","")&amp;IF(I185="Sim","Fechado no dia; ","")&amp;IF(AND(B185&lt;&gt;"",G185&lt;&gt;"",B185&lt;G185),"Antes de abrir; ","")&amp;IF(AND(B185&lt;&gt;"",H185&lt;&gt;"",B185+C185/1440&gt;H185),"Depois de fechar; ",""))</f>
        <v/>
      </c>
    </row>
    <row r="186" customFormat="false" ht="15" hidden="false" customHeight="false" outlineLevel="0" collapsed="false">
      <c r="A186" s="7"/>
      <c r="B186" s="10"/>
      <c r="C186" s="11"/>
      <c r="D186" s="8"/>
      <c r="E186" s="8"/>
      <c r="F186" s="8"/>
      <c r="G186" s="10"/>
      <c r="H186" s="10"/>
      <c r="I186" s="8"/>
      <c r="J186" s="11"/>
      <c r="K186" s="8"/>
      <c r="L186" s="8"/>
      <c r="M186" s="8"/>
      <c r="N186" s="11"/>
      <c r="O186" s="8"/>
      <c r="P186" s="12"/>
      <c r="Q186" s="8"/>
      <c r="R186" s="8"/>
      <c r="S186" s="9" t="str">
        <f aca="false">IF(E186="","",IF(AND(OR(D186="Restaurante",D186="Ingresso"),OR(K186="",K186="A decidir")),"Reserva a decidir; ","")&amp;IF(AND(D186="Ingresso",K186="Não"),"Ingresso não comprado; ","")&amp;IF(AND(K186="Sim",L186=""),"Reserva sem código; ","")&amp;IF(I186="Sim","Fechado no dia; ","")&amp;IF(AND(B186&lt;&gt;"",G186&lt;&gt;"",B186&lt;G186),"Antes de abrir; ","")&amp;IF(AND(B186&lt;&gt;"",H186&lt;&gt;"",B186+C186/1440&gt;H186),"Depois de fechar; ",""))</f>
        <v/>
      </c>
    </row>
    <row r="187" customFormat="false" ht="15" hidden="false" customHeight="false" outlineLevel="0" collapsed="false">
      <c r="A187" s="7"/>
      <c r="B187" s="10"/>
      <c r="C187" s="11"/>
      <c r="D187" s="8"/>
      <c r="E187" s="8"/>
      <c r="F187" s="8"/>
      <c r="G187" s="10"/>
      <c r="H187" s="10"/>
      <c r="I187" s="8"/>
      <c r="J187" s="11"/>
      <c r="K187" s="8"/>
      <c r="L187" s="8"/>
      <c r="M187" s="8"/>
      <c r="N187" s="11"/>
      <c r="O187" s="8"/>
      <c r="P187" s="12"/>
      <c r="Q187" s="8"/>
      <c r="R187" s="8"/>
      <c r="S187" s="9" t="str">
        <f aca="false">IF(E187="","",IF(AND(OR(D187="Restaurante",D187="Ingresso"),OR(K187="",K187="A decidir")),"Reserva a decidir; ","")&amp;IF(AND(D187="Ingresso",K187="Não"),"Ingresso não comprado; ","")&amp;IF(AND(K187="Sim",L187=""),"Reserva sem código; ","")&amp;IF(I187="Sim","Fechado no dia; ","")&amp;IF(AND(B187&lt;&gt;"",G187&lt;&gt;"",B187&lt;G187),"Antes de abrir; ","")&amp;IF(AND(B187&lt;&gt;"",H187&lt;&gt;"",B187+C187/1440&gt;H187),"Depois de fechar; ",""))</f>
        <v/>
      </c>
    </row>
    <row r="188" customFormat="false" ht="15" hidden="false" customHeight="false" outlineLevel="0" collapsed="false">
      <c r="A188" s="7"/>
      <c r="B188" s="10"/>
      <c r="C188" s="11"/>
      <c r="D188" s="8"/>
      <c r="E188" s="8"/>
      <c r="F188" s="8"/>
      <c r="G188" s="10"/>
      <c r="H188" s="10"/>
      <c r="I188" s="8"/>
      <c r="J188" s="11"/>
      <c r="K188" s="8"/>
      <c r="L188" s="8"/>
      <c r="M188" s="8"/>
      <c r="N188" s="11"/>
      <c r="O188" s="8"/>
      <c r="P188" s="12"/>
      <c r="Q188" s="8"/>
      <c r="R188" s="8"/>
      <c r="S188" s="9" t="str">
        <f aca="false">IF(E188="","",IF(AND(OR(D188="Restaurante",D188="Ingresso"),OR(K188="",K188="A decidir")),"Reserva a decidir; ","")&amp;IF(AND(D188="Ingresso",K188="Não"),"Ingresso não comprado; ","")&amp;IF(AND(K188="Sim",L188=""),"Reserva sem código; ","")&amp;IF(I188="Sim","Fechado no dia; ","")&amp;IF(AND(B188&lt;&gt;"",G188&lt;&gt;"",B188&lt;G188),"Antes de abrir; ","")&amp;IF(AND(B188&lt;&gt;"",H188&lt;&gt;"",B188+C188/1440&gt;H188),"Depois de fechar; ",""))</f>
        <v/>
      </c>
    </row>
    <row r="189" customFormat="false" ht="15" hidden="false" customHeight="false" outlineLevel="0" collapsed="false">
      <c r="A189" s="7"/>
      <c r="B189" s="10"/>
      <c r="C189" s="11"/>
      <c r="D189" s="8"/>
      <c r="E189" s="8"/>
      <c r="F189" s="8"/>
      <c r="G189" s="10"/>
      <c r="H189" s="10"/>
      <c r="I189" s="8"/>
      <c r="J189" s="11"/>
      <c r="K189" s="8"/>
      <c r="L189" s="8"/>
      <c r="M189" s="8"/>
      <c r="N189" s="11"/>
      <c r="O189" s="8"/>
      <c r="P189" s="12"/>
      <c r="Q189" s="8"/>
      <c r="R189" s="8"/>
      <c r="S189" s="9" t="str">
        <f aca="false">IF(E189="","",IF(AND(OR(D189="Restaurante",D189="Ingresso"),OR(K189="",K189="A decidir")),"Reserva a decidir; ","")&amp;IF(AND(D189="Ingresso",K189="Não"),"Ingresso não comprado; ","")&amp;IF(AND(K189="Sim",L189=""),"Reserva sem código; ","")&amp;IF(I189="Sim","Fechado no dia; ","")&amp;IF(AND(B189&lt;&gt;"",G189&lt;&gt;"",B189&lt;G189),"Antes de abrir; ","")&amp;IF(AND(B189&lt;&gt;"",H189&lt;&gt;"",B189+C189/1440&gt;H189),"Depois de fechar; ",""))</f>
        <v/>
      </c>
    </row>
    <row r="190" customFormat="false" ht="15" hidden="false" customHeight="false" outlineLevel="0" collapsed="false">
      <c r="A190" s="7"/>
      <c r="B190" s="10"/>
      <c r="C190" s="11"/>
      <c r="D190" s="8"/>
      <c r="E190" s="8"/>
      <c r="F190" s="8"/>
      <c r="G190" s="10"/>
      <c r="H190" s="10"/>
      <c r="I190" s="8"/>
      <c r="J190" s="11"/>
      <c r="K190" s="8"/>
      <c r="L190" s="8"/>
      <c r="M190" s="8"/>
      <c r="N190" s="11"/>
      <c r="O190" s="8"/>
      <c r="P190" s="12"/>
      <c r="Q190" s="8"/>
      <c r="R190" s="8"/>
      <c r="S190" s="9" t="str">
        <f aca="false">IF(E190="","",IF(AND(OR(D190="Restaurante",D190="Ingresso"),OR(K190="",K190="A decidir")),"Reserva a decidir; ","")&amp;IF(AND(D190="Ingresso",K190="Não"),"Ingresso não comprado; ","")&amp;IF(AND(K190="Sim",L190=""),"Reserva sem código; ","")&amp;IF(I190="Sim","Fechado no dia; ","")&amp;IF(AND(B190&lt;&gt;"",G190&lt;&gt;"",B190&lt;G190),"Antes de abrir; ","")&amp;IF(AND(B190&lt;&gt;"",H190&lt;&gt;"",B190+C190/1440&gt;H190),"Depois de fechar; ",""))</f>
        <v/>
      </c>
    </row>
    <row r="191" customFormat="false" ht="15" hidden="false" customHeight="false" outlineLevel="0" collapsed="false">
      <c r="A191" s="7"/>
      <c r="B191" s="10"/>
      <c r="C191" s="11"/>
      <c r="D191" s="8"/>
      <c r="E191" s="8"/>
      <c r="F191" s="8"/>
      <c r="G191" s="10"/>
      <c r="H191" s="10"/>
      <c r="I191" s="8"/>
      <c r="J191" s="11"/>
      <c r="K191" s="8"/>
      <c r="L191" s="8"/>
      <c r="M191" s="8"/>
      <c r="N191" s="11"/>
      <c r="O191" s="8"/>
      <c r="P191" s="12"/>
      <c r="Q191" s="8"/>
      <c r="R191" s="8"/>
      <c r="S191" s="9" t="str">
        <f aca="false">IF(E191="","",IF(AND(OR(D191="Restaurante",D191="Ingresso"),OR(K191="",K191="A decidir")),"Reserva a decidir; ","")&amp;IF(AND(D191="Ingresso",K191="Não"),"Ingresso não comprado; ","")&amp;IF(AND(K191="Sim",L191=""),"Reserva sem código; ","")&amp;IF(I191="Sim","Fechado no dia; ","")&amp;IF(AND(B191&lt;&gt;"",G191&lt;&gt;"",B191&lt;G191),"Antes de abrir; ","")&amp;IF(AND(B191&lt;&gt;"",H191&lt;&gt;"",B191+C191/1440&gt;H191),"Depois de fechar; ",""))</f>
        <v/>
      </c>
    </row>
    <row r="192" customFormat="false" ht="15" hidden="false" customHeight="false" outlineLevel="0" collapsed="false">
      <c r="A192" s="7"/>
      <c r="B192" s="10"/>
      <c r="C192" s="11"/>
      <c r="D192" s="8"/>
      <c r="E192" s="8"/>
      <c r="F192" s="8"/>
      <c r="G192" s="10"/>
      <c r="H192" s="10"/>
      <c r="I192" s="8"/>
      <c r="J192" s="11"/>
      <c r="K192" s="8"/>
      <c r="L192" s="8"/>
      <c r="M192" s="8"/>
      <c r="N192" s="11"/>
      <c r="O192" s="8"/>
      <c r="P192" s="12"/>
      <c r="Q192" s="8"/>
      <c r="R192" s="8"/>
      <c r="S192" s="9" t="str">
        <f aca="false">IF(E192="","",IF(AND(OR(D192="Restaurante",D192="Ingresso"),OR(K192="",K192="A decidir")),"Reserva a decidir; ","")&amp;IF(AND(D192="Ingresso",K192="Não"),"Ingresso não comprado; ","")&amp;IF(AND(K192="Sim",L192=""),"Reserva sem código; ","")&amp;IF(I192="Sim","Fechado no dia; ","")&amp;IF(AND(B192&lt;&gt;"",G192&lt;&gt;"",B192&lt;G192),"Antes de abrir; ","")&amp;IF(AND(B192&lt;&gt;"",H192&lt;&gt;"",B192+C192/1440&gt;H192),"Depois de fechar; ",""))</f>
        <v/>
      </c>
    </row>
    <row r="193" customFormat="false" ht="15" hidden="false" customHeight="false" outlineLevel="0" collapsed="false">
      <c r="A193" s="7"/>
      <c r="B193" s="10"/>
      <c r="C193" s="11"/>
      <c r="D193" s="8"/>
      <c r="E193" s="8"/>
      <c r="F193" s="8"/>
      <c r="G193" s="10"/>
      <c r="H193" s="10"/>
      <c r="I193" s="8"/>
      <c r="J193" s="11"/>
      <c r="K193" s="8"/>
      <c r="L193" s="8"/>
      <c r="M193" s="8"/>
      <c r="N193" s="11"/>
      <c r="O193" s="8"/>
      <c r="P193" s="12"/>
      <c r="Q193" s="8"/>
      <c r="R193" s="8"/>
      <c r="S193" s="9" t="str">
        <f aca="false">IF(E193="","",IF(AND(OR(D193="Restaurante",D193="Ingresso"),OR(K193="",K193="A decidir")),"Reserva a decidir; ","")&amp;IF(AND(D193="Ingresso",K193="Não"),"Ingresso não comprado; ","")&amp;IF(AND(K193="Sim",L193=""),"Reserva sem código; ","")&amp;IF(I193="Sim","Fechado no dia; ","")&amp;IF(AND(B193&lt;&gt;"",G193&lt;&gt;"",B193&lt;G193),"Antes de abrir; ","")&amp;IF(AND(B193&lt;&gt;"",H193&lt;&gt;"",B193+C193/1440&gt;H193),"Depois de fechar; ",""))</f>
        <v/>
      </c>
    </row>
    <row r="194" customFormat="false" ht="15" hidden="false" customHeight="false" outlineLevel="0" collapsed="false">
      <c r="A194" s="7"/>
      <c r="B194" s="10"/>
      <c r="C194" s="11"/>
      <c r="D194" s="8"/>
      <c r="E194" s="8"/>
      <c r="F194" s="8"/>
      <c r="G194" s="10"/>
      <c r="H194" s="10"/>
      <c r="I194" s="8"/>
      <c r="J194" s="11"/>
      <c r="K194" s="8"/>
      <c r="L194" s="8"/>
      <c r="M194" s="8"/>
      <c r="N194" s="11"/>
      <c r="O194" s="8"/>
      <c r="P194" s="12"/>
      <c r="Q194" s="8"/>
      <c r="R194" s="8"/>
      <c r="S194" s="9" t="str">
        <f aca="false">IF(E194="","",IF(AND(OR(D194="Restaurante",D194="Ingresso"),OR(K194="",K194="A decidir")),"Reserva a decidir; ","")&amp;IF(AND(D194="Ingresso",K194="Não"),"Ingresso não comprado; ","")&amp;IF(AND(K194="Sim",L194=""),"Reserva sem código; ","")&amp;IF(I194="Sim","Fechado no dia; ","")&amp;IF(AND(B194&lt;&gt;"",G194&lt;&gt;"",B194&lt;G194),"Antes de abrir; ","")&amp;IF(AND(B194&lt;&gt;"",H194&lt;&gt;"",B194+C194/1440&gt;H194),"Depois de fechar; ",""))</f>
        <v/>
      </c>
    </row>
    <row r="195" customFormat="false" ht="15" hidden="false" customHeight="false" outlineLevel="0" collapsed="false">
      <c r="A195" s="7"/>
      <c r="B195" s="10"/>
      <c r="C195" s="11"/>
      <c r="D195" s="8"/>
      <c r="E195" s="8"/>
      <c r="F195" s="8"/>
      <c r="G195" s="10"/>
      <c r="H195" s="10"/>
      <c r="I195" s="8"/>
      <c r="J195" s="11"/>
      <c r="K195" s="8"/>
      <c r="L195" s="8"/>
      <c r="M195" s="8"/>
      <c r="N195" s="11"/>
      <c r="O195" s="8"/>
      <c r="P195" s="12"/>
      <c r="Q195" s="8"/>
      <c r="R195" s="8"/>
      <c r="S195" s="9" t="str">
        <f aca="false">IF(E195="","",IF(AND(OR(D195="Restaurante",D195="Ingresso"),OR(K195="",K195="A decidir")),"Reserva a decidir; ","")&amp;IF(AND(D195="Ingresso",K195="Não"),"Ingresso não comprado; ","")&amp;IF(AND(K195="Sim",L195=""),"Reserva sem código; ","")&amp;IF(I195="Sim","Fechado no dia; ","")&amp;IF(AND(B195&lt;&gt;"",G195&lt;&gt;"",B195&lt;G195),"Antes de abrir; ","")&amp;IF(AND(B195&lt;&gt;"",H195&lt;&gt;"",B195+C195/1440&gt;H195),"Depois de fechar; ",""))</f>
        <v/>
      </c>
    </row>
    <row r="196" customFormat="false" ht="15" hidden="false" customHeight="false" outlineLevel="0" collapsed="false">
      <c r="A196" s="7"/>
      <c r="B196" s="10"/>
      <c r="C196" s="11"/>
      <c r="D196" s="8"/>
      <c r="E196" s="8"/>
      <c r="F196" s="8"/>
      <c r="G196" s="10"/>
      <c r="H196" s="10"/>
      <c r="I196" s="8"/>
      <c r="J196" s="11"/>
      <c r="K196" s="8"/>
      <c r="L196" s="8"/>
      <c r="M196" s="8"/>
      <c r="N196" s="11"/>
      <c r="O196" s="8"/>
      <c r="P196" s="12"/>
      <c r="Q196" s="8"/>
      <c r="R196" s="8"/>
      <c r="S196" s="9" t="str">
        <f aca="false">IF(E196="","",IF(AND(OR(D196="Restaurante",D196="Ingresso"),OR(K196="",K196="A decidir")),"Reserva a decidir; ","")&amp;IF(AND(D196="Ingresso",K196="Não"),"Ingresso não comprado; ","")&amp;IF(AND(K196="Sim",L196=""),"Reserva sem código; ","")&amp;IF(I196="Sim","Fechado no dia; ","")&amp;IF(AND(B196&lt;&gt;"",G196&lt;&gt;"",B196&lt;G196),"Antes de abrir; ","")&amp;IF(AND(B196&lt;&gt;"",H196&lt;&gt;"",B196+C196/1440&gt;H196),"Depois de fechar; ",""))</f>
        <v/>
      </c>
    </row>
    <row r="197" customFormat="false" ht="15" hidden="false" customHeight="false" outlineLevel="0" collapsed="false">
      <c r="A197" s="7"/>
      <c r="B197" s="10"/>
      <c r="C197" s="11"/>
      <c r="D197" s="8"/>
      <c r="E197" s="8"/>
      <c r="F197" s="8"/>
      <c r="G197" s="10"/>
      <c r="H197" s="10"/>
      <c r="I197" s="8"/>
      <c r="J197" s="11"/>
      <c r="K197" s="8"/>
      <c r="L197" s="8"/>
      <c r="M197" s="8"/>
      <c r="N197" s="11"/>
      <c r="O197" s="8"/>
      <c r="P197" s="12"/>
      <c r="Q197" s="8"/>
      <c r="R197" s="8"/>
      <c r="S197" s="9" t="str">
        <f aca="false">IF(E197="","",IF(AND(OR(D197="Restaurante",D197="Ingresso"),OR(K197="",K197="A decidir")),"Reserva a decidir; ","")&amp;IF(AND(D197="Ingresso",K197="Não"),"Ingresso não comprado; ","")&amp;IF(AND(K197="Sim",L197=""),"Reserva sem código; ","")&amp;IF(I197="Sim","Fechado no dia; ","")&amp;IF(AND(B197&lt;&gt;"",G197&lt;&gt;"",B197&lt;G197),"Antes de abrir; ","")&amp;IF(AND(B197&lt;&gt;"",H197&lt;&gt;"",B197+C197/1440&gt;H197),"Depois de fechar; ",""))</f>
        <v/>
      </c>
    </row>
    <row r="198" customFormat="false" ht="15" hidden="false" customHeight="false" outlineLevel="0" collapsed="false">
      <c r="A198" s="7"/>
      <c r="B198" s="10"/>
      <c r="C198" s="11"/>
      <c r="D198" s="8"/>
      <c r="E198" s="8"/>
      <c r="F198" s="8"/>
      <c r="G198" s="10"/>
      <c r="H198" s="10"/>
      <c r="I198" s="8"/>
      <c r="J198" s="11"/>
      <c r="K198" s="8"/>
      <c r="L198" s="8"/>
      <c r="M198" s="8"/>
      <c r="N198" s="11"/>
      <c r="O198" s="8"/>
      <c r="P198" s="12"/>
      <c r="Q198" s="8"/>
      <c r="R198" s="8"/>
      <c r="S198" s="9" t="str">
        <f aca="false">IF(E198="","",IF(AND(OR(D198="Restaurante",D198="Ingresso"),OR(K198="",K198="A decidir")),"Reserva a decidir; ","")&amp;IF(AND(D198="Ingresso",K198="Não"),"Ingresso não comprado; ","")&amp;IF(AND(K198="Sim",L198=""),"Reserva sem código; ","")&amp;IF(I198="Sim","Fechado no dia; ","")&amp;IF(AND(B198&lt;&gt;"",G198&lt;&gt;"",B198&lt;G198),"Antes de abrir; ","")&amp;IF(AND(B198&lt;&gt;"",H198&lt;&gt;"",B198+C198/1440&gt;H198),"Depois de fechar; ",""))</f>
        <v/>
      </c>
    </row>
    <row r="199" customFormat="false" ht="15" hidden="false" customHeight="false" outlineLevel="0" collapsed="false">
      <c r="A199" s="7"/>
      <c r="B199" s="10"/>
      <c r="C199" s="11"/>
      <c r="D199" s="8"/>
      <c r="E199" s="8"/>
      <c r="F199" s="8"/>
      <c r="G199" s="10"/>
      <c r="H199" s="10"/>
      <c r="I199" s="8"/>
      <c r="J199" s="11"/>
      <c r="K199" s="8"/>
      <c r="L199" s="8"/>
      <c r="M199" s="8"/>
      <c r="N199" s="11"/>
      <c r="O199" s="8"/>
      <c r="P199" s="12"/>
      <c r="Q199" s="8"/>
      <c r="R199" s="8"/>
      <c r="S199" s="9" t="str">
        <f aca="false">IF(E199="","",IF(AND(OR(D199="Restaurante",D199="Ingresso"),OR(K199="",K199="A decidir")),"Reserva a decidir; ","")&amp;IF(AND(D199="Ingresso",K199="Não"),"Ingresso não comprado; ","")&amp;IF(AND(K199="Sim",L199=""),"Reserva sem código; ","")&amp;IF(I199="Sim","Fechado no dia; ","")&amp;IF(AND(B199&lt;&gt;"",G199&lt;&gt;"",B199&lt;G199),"Antes de abrir; ","")&amp;IF(AND(B199&lt;&gt;"",H199&lt;&gt;"",B199+C199/1440&gt;H199),"Depois de fechar; ",""))</f>
        <v/>
      </c>
    </row>
    <row r="200" customFormat="false" ht="15" hidden="false" customHeight="false" outlineLevel="0" collapsed="false">
      <c r="A200" s="7"/>
      <c r="B200" s="10"/>
      <c r="C200" s="11"/>
      <c r="D200" s="8"/>
      <c r="E200" s="8"/>
      <c r="F200" s="8"/>
      <c r="G200" s="10"/>
      <c r="H200" s="10"/>
      <c r="I200" s="8"/>
      <c r="J200" s="11"/>
      <c r="K200" s="8"/>
      <c r="L200" s="8"/>
      <c r="M200" s="8"/>
      <c r="N200" s="11"/>
      <c r="O200" s="8"/>
      <c r="P200" s="12"/>
      <c r="Q200" s="8"/>
      <c r="R200" s="8"/>
      <c r="S200" s="9" t="str">
        <f aca="false">IF(E200="","",IF(AND(OR(D200="Restaurante",D200="Ingresso"),OR(K200="",K200="A decidir")),"Reserva a decidir; ","")&amp;IF(AND(D200="Ingresso",K200="Não"),"Ingresso não comprado; ","")&amp;IF(AND(K200="Sim",L200=""),"Reserva sem código; ","")&amp;IF(I200="Sim","Fechado no dia; ","")&amp;IF(AND(B200&lt;&gt;"",G200&lt;&gt;"",B200&lt;G200),"Antes de abrir; ","")&amp;IF(AND(B200&lt;&gt;"",H200&lt;&gt;"",B200+C200/1440&gt;H200),"Depois de fechar; ",""))</f>
        <v/>
      </c>
    </row>
    <row r="201" customFormat="false" ht="15" hidden="false" customHeight="false" outlineLevel="0" collapsed="false">
      <c r="A201" s="7"/>
      <c r="B201" s="10"/>
      <c r="C201" s="11"/>
      <c r="D201" s="8"/>
      <c r="E201" s="8"/>
      <c r="F201" s="8"/>
      <c r="G201" s="10"/>
      <c r="H201" s="10"/>
      <c r="I201" s="8"/>
      <c r="J201" s="11"/>
      <c r="K201" s="8"/>
      <c r="L201" s="8"/>
      <c r="M201" s="8"/>
      <c r="N201" s="11"/>
      <c r="O201" s="8"/>
      <c r="P201" s="12"/>
      <c r="Q201" s="8"/>
      <c r="R201" s="8"/>
      <c r="S201" s="9" t="str">
        <f aca="false">IF(E201="","",IF(AND(OR(D201="Restaurante",D201="Ingresso"),OR(K201="",K201="A decidir")),"Reserva a decidir; ","")&amp;IF(AND(D201="Ingresso",K201="Não"),"Ingresso não comprado; ","")&amp;IF(AND(K201="Sim",L201=""),"Reserva sem código; ","")&amp;IF(I201="Sim","Fechado no dia; ","")&amp;IF(AND(B201&lt;&gt;"",G201&lt;&gt;"",B201&lt;G201),"Antes de abrir; ","")&amp;IF(AND(B201&lt;&gt;"",H201&lt;&gt;"",B201+C201/1440&gt;H201),"Depois de fechar; ",""))</f>
        <v/>
      </c>
    </row>
    <row r="202" customFormat="false" ht="15" hidden="false" customHeight="false" outlineLevel="0" collapsed="false">
      <c r="A202" s="7"/>
      <c r="B202" s="10"/>
      <c r="C202" s="11"/>
      <c r="D202" s="8"/>
      <c r="E202" s="8"/>
      <c r="F202" s="8"/>
      <c r="G202" s="10"/>
      <c r="H202" s="10"/>
      <c r="I202" s="8"/>
      <c r="J202" s="11"/>
      <c r="K202" s="8"/>
      <c r="L202" s="8"/>
      <c r="M202" s="8"/>
      <c r="N202" s="11"/>
      <c r="O202" s="8"/>
      <c r="P202" s="12"/>
      <c r="Q202" s="8"/>
      <c r="R202" s="8"/>
      <c r="S202" s="9" t="str">
        <f aca="false">IF(E202="","",IF(AND(OR(D202="Restaurante",D202="Ingresso"),OR(K202="",K202="A decidir")),"Reserva a decidir; ","")&amp;IF(AND(D202="Ingresso",K202="Não"),"Ingresso não comprado; ","")&amp;IF(AND(K202="Sim",L202=""),"Reserva sem código; ","")&amp;IF(I202="Sim","Fechado no dia; ","")&amp;IF(AND(B202&lt;&gt;"",G202&lt;&gt;"",B202&lt;G202),"Antes de abrir; ","")&amp;IF(AND(B202&lt;&gt;"",H202&lt;&gt;"",B202+C202/1440&gt;H202),"Depois de fechar; ",""))</f>
        <v/>
      </c>
    </row>
    <row r="203" customFormat="false" ht="15" hidden="false" customHeight="false" outlineLevel="0" collapsed="false">
      <c r="A203" s="7"/>
      <c r="B203" s="10"/>
      <c r="C203" s="11"/>
      <c r="D203" s="8"/>
      <c r="E203" s="8"/>
      <c r="F203" s="8"/>
      <c r="G203" s="10"/>
      <c r="H203" s="10"/>
      <c r="I203" s="8"/>
      <c r="J203" s="11"/>
      <c r="K203" s="8"/>
      <c r="L203" s="8"/>
      <c r="M203" s="8"/>
      <c r="N203" s="11"/>
      <c r="O203" s="8"/>
      <c r="P203" s="12"/>
      <c r="Q203" s="8"/>
      <c r="R203" s="8"/>
      <c r="S203" s="9" t="str">
        <f aca="false">IF(E203="","",IF(AND(OR(D203="Restaurante",D203="Ingresso"),OR(K203="",K203="A decidir")),"Reserva a decidir; ","")&amp;IF(AND(D203="Ingresso",K203="Não"),"Ingresso não comprado; ","")&amp;IF(AND(K203="Sim",L203=""),"Reserva sem código; ","")&amp;IF(I203="Sim","Fechado no dia; ","")&amp;IF(AND(B203&lt;&gt;"",G203&lt;&gt;"",B203&lt;G203),"Antes de abrir; ","")&amp;IF(AND(B203&lt;&gt;"",H203&lt;&gt;"",B203+C203/1440&gt;H203),"Depois de fechar; ",""))</f>
        <v/>
      </c>
    </row>
    <row r="204" customFormat="false" ht="15" hidden="false" customHeight="false" outlineLevel="0" collapsed="false">
      <c r="A204" s="7"/>
      <c r="B204" s="10"/>
      <c r="C204" s="11"/>
      <c r="D204" s="8"/>
      <c r="E204" s="8"/>
      <c r="F204" s="8"/>
      <c r="G204" s="10"/>
      <c r="H204" s="10"/>
      <c r="I204" s="8"/>
      <c r="J204" s="11"/>
      <c r="K204" s="8"/>
      <c r="L204" s="8"/>
      <c r="M204" s="8"/>
      <c r="N204" s="11"/>
      <c r="O204" s="8"/>
      <c r="P204" s="12"/>
      <c r="Q204" s="8"/>
      <c r="R204" s="8"/>
      <c r="S204" s="9" t="str">
        <f aca="false">IF(E204="","",IF(AND(OR(D204="Restaurante",D204="Ingresso"),OR(K204="",K204="A decidir")),"Reserva a decidir; ","")&amp;IF(AND(D204="Ingresso",K204="Não"),"Ingresso não comprado; ","")&amp;IF(AND(K204="Sim",L204=""),"Reserva sem código; ","")&amp;IF(I204="Sim","Fechado no dia; ","")&amp;IF(AND(B204&lt;&gt;"",G204&lt;&gt;"",B204&lt;G204),"Antes de abrir; ","")&amp;IF(AND(B204&lt;&gt;"",H204&lt;&gt;"",B204+C204/1440&gt;H204),"Depois de fechar; ",""))</f>
        <v/>
      </c>
    </row>
    <row r="205" customFormat="false" ht="15" hidden="false" customHeight="false" outlineLevel="0" collapsed="false">
      <c r="A205" s="7"/>
      <c r="B205" s="10"/>
      <c r="C205" s="11"/>
      <c r="D205" s="8"/>
      <c r="E205" s="8"/>
      <c r="F205" s="8"/>
      <c r="G205" s="10"/>
      <c r="H205" s="10"/>
      <c r="I205" s="8"/>
      <c r="J205" s="11"/>
      <c r="K205" s="8"/>
      <c r="L205" s="8"/>
      <c r="M205" s="8"/>
      <c r="N205" s="11"/>
      <c r="O205" s="8"/>
      <c r="P205" s="12"/>
      <c r="Q205" s="8"/>
      <c r="R205" s="8"/>
      <c r="S205" s="9" t="str">
        <f aca="false">IF(E205="","",IF(AND(OR(D205="Restaurante",D205="Ingresso"),OR(K205="",K205="A decidir")),"Reserva a decidir; ","")&amp;IF(AND(D205="Ingresso",K205="Não"),"Ingresso não comprado; ","")&amp;IF(AND(K205="Sim",L205=""),"Reserva sem código; ","")&amp;IF(I205="Sim","Fechado no dia; ","")&amp;IF(AND(B205&lt;&gt;"",G205&lt;&gt;"",B205&lt;G205),"Antes de abrir; ","")&amp;IF(AND(B205&lt;&gt;"",H205&lt;&gt;"",B205+C205/1440&gt;H205),"Depois de fechar; ",""))</f>
        <v/>
      </c>
    </row>
    <row r="206" customFormat="false" ht="15" hidden="false" customHeight="false" outlineLevel="0" collapsed="false">
      <c r="A206" s="7"/>
      <c r="B206" s="10"/>
      <c r="C206" s="11"/>
      <c r="D206" s="8"/>
      <c r="E206" s="8"/>
      <c r="F206" s="8"/>
      <c r="G206" s="10"/>
      <c r="H206" s="10"/>
      <c r="I206" s="8"/>
      <c r="J206" s="11"/>
      <c r="K206" s="8"/>
      <c r="L206" s="8"/>
      <c r="M206" s="8"/>
      <c r="N206" s="11"/>
      <c r="O206" s="8"/>
      <c r="P206" s="12"/>
      <c r="Q206" s="8"/>
      <c r="R206" s="8"/>
      <c r="S206" s="9" t="str">
        <f aca="false">IF(E206="","",IF(AND(OR(D206="Restaurante",D206="Ingresso"),OR(K206="",K206="A decidir")),"Reserva a decidir; ","")&amp;IF(AND(D206="Ingresso",K206="Não"),"Ingresso não comprado; ","")&amp;IF(AND(K206="Sim",L206=""),"Reserva sem código; ","")&amp;IF(I206="Sim","Fechado no dia; ","")&amp;IF(AND(B206&lt;&gt;"",G206&lt;&gt;"",B206&lt;G206),"Antes de abrir; ","")&amp;IF(AND(B206&lt;&gt;"",H206&lt;&gt;"",B206+C206/1440&gt;H206),"Depois de fechar; ",""))</f>
        <v/>
      </c>
    </row>
    <row r="207" customFormat="false" ht="15" hidden="false" customHeight="false" outlineLevel="0" collapsed="false">
      <c r="A207" s="7"/>
      <c r="B207" s="10"/>
      <c r="C207" s="11"/>
      <c r="D207" s="8"/>
      <c r="E207" s="8"/>
      <c r="F207" s="8"/>
      <c r="G207" s="10"/>
      <c r="H207" s="10"/>
      <c r="I207" s="8"/>
      <c r="J207" s="11"/>
      <c r="K207" s="8"/>
      <c r="L207" s="8"/>
      <c r="M207" s="8"/>
      <c r="N207" s="11"/>
      <c r="O207" s="8"/>
      <c r="P207" s="12"/>
      <c r="Q207" s="8"/>
      <c r="R207" s="8"/>
      <c r="S207" s="9" t="str">
        <f aca="false">IF(E207="","",IF(AND(OR(D207="Restaurante",D207="Ingresso"),OR(K207="",K207="A decidir")),"Reserva a decidir; ","")&amp;IF(AND(D207="Ingresso",K207="Não"),"Ingresso não comprado; ","")&amp;IF(AND(K207="Sim",L207=""),"Reserva sem código; ","")&amp;IF(I207="Sim","Fechado no dia; ","")&amp;IF(AND(B207&lt;&gt;"",G207&lt;&gt;"",B207&lt;G207),"Antes de abrir; ","")&amp;IF(AND(B207&lt;&gt;"",H207&lt;&gt;"",B207+C207/1440&gt;H207),"Depois de fechar; ",""))</f>
        <v/>
      </c>
    </row>
    <row r="208" customFormat="false" ht="15" hidden="false" customHeight="false" outlineLevel="0" collapsed="false">
      <c r="A208" s="7"/>
      <c r="B208" s="10"/>
      <c r="C208" s="11"/>
      <c r="D208" s="8"/>
      <c r="E208" s="8"/>
      <c r="F208" s="8"/>
      <c r="G208" s="10"/>
      <c r="H208" s="10"/>
      <c r="I208" s="8"/>
      <c r="J208" s="11"/>
      <c r="K208" s="8"/>
      <c r="L208" s="8"/>
      <c r="M208" s="8"/>
      <c r="N208" s="11"/>
      <c r="O208" s="8"/>
      <c r="P208" s="12"/>
      <c r="Q208" s="8"/>
      <c r="R208" s="8"/>
      <c r="S208" s="9" t="str">
        <f aca="false">IF(E208="","",IF(AND(OR(D208="Restaurante",D208="Ingresso"),OR(K208="",K208="A decidir")),"Reserva a decidir; ","")&amp;IF(AND(D208="Ingresso",K208="Não"),"Ingresso não comprado; ","")&amp;IF(AND(K208="Sim",L208=""),"Reserva sem código; ","")&amp;IF(I208="Sim","Fechado no dia; ","")&amp;IF(AND(B208&lt;&gt;"",G208&lt;&gt;"",B208&lt;G208),"Antes de abrir; ","")&amp;IF(AND(B208&lt;&gt;"",H208&lt;&gt;"",B208+C208/1440&gt;H208),"Depois de fechar; ",""))</f>
        <v/>
      </c>
    </row>
    <row r="209" customFormat="false" ht="15" hidden="false" customHeight="false" outlineLevel="0" collapsed="false">
      <c r="A209" s="7"/>
      <c r="B209" s="10"/>
      <c r="C209" s="11"/>
      <c r="D209" s="8"/>
      <c r="E209" s="8"/>
      <c r="F209" s="8"/>
      <c r="G209" s="10"/>
      <c r="H209" s="10"/>
      <c r="I209" s="8"/>
      <c r="J209" s="11"/>
      <c r="K209" s="8"/>
      <c r="L209" s="8"/>
      <c r="M209" s="8"/>
      <c r="N209" s="11"/>
      <c r="O209" s="8"/>
      <c r="P209" s="12"/>
      <c r="Q209" s="8"/>
      <c r="R209" s="8"/>
      <c r="S209" s="9" t="str">
        <f aca="false">IF(E209="","",IF(AND(OR(D209="Restaurante",D209="Ingresso"),OR(K209="",K209="A decidir")),"Reserva a decidir; ","")&amp;IF(AND(D209="Ingresso",K209="Não"),"Ingresso não comprado; ","")&amp;IF(AND(K209="Sim",L209=""),"Reserva sem código; ","")&amp;IF(I209="Sim","Fechado no dia; ","")&amp;IF(AND(B209&lt;&gt;"",G209&lt;&gt;"",B209&lt;G209),"Antes de abrir; ","")&amp;IF(AND(B209&lt;&gt;"",H209&lt;&gt;"",B209+C209/1440&gt;H209),"Depois de fechar; ",""))</f>
        <v/>
      </c>
    </row>
    <row r="210" customFormat="false" ht="15" hidden="false" customHeight="false" outlineLevel="0" collapsed="false">
      <c r="A210" s="7"/>
      <c r="B210" s="10"/>
      <c r="C210" s="11"/>
      <c r="D210" s="8"/>
      <c r="E210" s="8"/>
      <c r="F210" s="8"/>
      <c r="G210" s="10"/>
      <c r="H210" s="10"/>
      <c r="I210" s="8"/>
      <c r="J210" s="11"/>
      <c r="K210" s="8"/>
      <c r="L210" s="8"/>
      <c r="M210" s="8"/>
      <c r="N210" s="11"/>
      <c r="O210" s="8"/>
      <c r="P210" s="12"/>
      <c r="Q210" s="8"/>
      <c r="R210" s="8"/>
      <c r="S210" s="9" t="str">
        <f aca="false">IF(E210="","",IF(AND(OR(D210="Restaurante",D210="Ingresso"),OR(K210="",K210="A decidir")),"Reserva a decidir; ","")&amp;IF(AND(D210="Ingresso",K210="Não"),"Ingresso não comprado; ","")&amp;IF(AND(K210="Sim",L210=""),"Reserva sem código; ","")&amp;IF(I210="Sim","Fechado no dia; ","")&amp;IF(AND(B210&lt;&gt;"",G210&lt;&gt;"",B210&lt;G210),"Antes de abrir; ","")&amp;IF(AND(B210&lt;&gt;"",H210&lt;&gt;"",B210+C210/1440&gt;H210),"Depois de fechar; ",""))</f>
        <v/>
      </c>
    </row>
    <row r="211" customFormat="false" ht="15" hidden="false" customHeight="false" outlineLevel="0" collapsed="false">
      <c r="A211" s="7"/>
      <c r="B211" s="10"/>
      <c r="C211" s="11"/>
      <c r="D211" s="8"/>
      <c r="E211" s="8"/>
      <c r="F211" s="8"/>
      <c r="G211" s="10"/>
      <c r="H211" s="10"/>
      <c r="I211" s="8"/>
      <c r="J211" s="11"/>
      <c r="K211" s="8"/>
      <c r="L211" s="8"/>
      <c r="M211" s="8"/>
      <c r="N211" s="11"/>
      <c r="O211" s="8"/>
      <c r="P211" s="12"/>
      <c r="Q211" s="8"/>
      <c r="R211" s="8"/>
      <c r="S211" s="9" t="str">
        <f aca="false">IF(E211="","",IF(AND(OR(D211="Restaurante",D211="Ingresso"),OR(K211="",K211="A decidir")),"Reserva a decidir; ","")&amp;IF(AND(D211="Ingresso",K211="Não"),"Ingresso não comprado; ","")&amp;IF(AND(K211="Sim",L211=""),"Reserva sem código; ","")&amp;IF(I211="Sim","Fechado no dia; ","")&amp;IF(AND(B211&lt;&gt;"",G211&lt;&gt;"",B211&lt;G211),"Antes de abrir; ","")&amp;IF(AND(B211&lt;&gt;"",H211&lt;&gt;"",B211+C211/1440&gt;H211),"Depois de fechar; ",""))</f>
        <v/>
      </c>
    </row>
    <row r="212" customFormat="false" ht="15" hidden="false" customHeight="false" outlineLevel="0" collapsed="false">
      <c r="A212" s="7"/>
      <c r="B212" s="10"/>
      <c r="C212" s="11"/>
      <c r="D212" s="8"/>
      <c r="E212" s="8"/>
      <c r="F212" s="8"/>
      <c r="G212" s="10"/>
      <c r="H212" s="10"/>
      <c r="I212" s="8"/>
      <c r="J212" s="11"/>
      <c r="K212" s="8"/>
      <c r="L212" s="8"/>
      <c r="M212" s="8"/>
      <c r="N212" s="11"/>
      <c r="O212" s="8"/>
      <c r="P212" s="12"/>
      <c r="Q212" s="8"/>
      <c r="R212" s="8"/>
      <c r="S212" s="9" t="str">
        <f aca="false">IF(E212="","",IF(AND(OR(D212="Restaurante",D212="Ingresso"),OR(K212="",K212="A decidir")),"Reserva a decidir; ","")&amp;IF(AND(D212="Ingresso",K212="Não"),"Ingresso não comprado; ","")&amp;IF(AND(K212="Sim",L212=""),"Reserva sem código; ","")&amp;IF(I212="Sim","Fechado no dia; ","")&amp;IF(AND(B212&lt;&gt;"",G212&lt;&gt;"",B212&lt;G212),"Antes de abrir; ","")&amp;IF(AND(B212&lt;&gt;"",H212&lt;&gt;"",B212+C212/1440&gt;H212),"Depois de fechar; ",""))</f>
        <v/>
      </c>
    </row>
    <row r="213" customFormat="false" ht="15" hidden="false" customHeight="false" outlineLevel="0" collapsed="false">
      <c r="A213" s="7"/>
      <c r="B213" s="10"/>
      <c r="C213" s="11"/>
      <c r="D213" s="8"/>
      <c r="E213" s="8"/>
      <c r="F213" s="8"/>
      <c r="G213" s="10"/>
      <c r="H213" s="10"/>
      <c r="I213" s="8"/>
      <c r="J213" s="11"/>
      <c r="K213" s="8"/>
      <c r="L213" s="8"/>
      <c r="M213" s="8"/>
      <c r="N213" s="11"/>
      <c r="O213" s="8"/>
      <c r="P213" s="12"/>
      <c r="Q213" s="8"/>
      <c r="R213" s="8"/>
      <c r="S213" s="9" t="str">
        <f aca="false">IF(E213="","",IF(AND(OR(D213="Restaurante",D213="Ingresso"),OR(K213="",K213="A decidir")),"Reserva a decidir; ","")&amp;IF(AND(D213="Ingresso",K213="Não"),"Ingresso não comprado; ","")&amp;IF(AND(K213="Sim",L213=""),"Reserva sem código; ","")&amp;IF(I213="Sim","Fechado no dia; ","")&amp;IF(AND(B213&lt;&gt;"",G213&lt;&gt;"",B213&lt;G213),"Antes de abrir; ","")&amp;IF(AND(B213&lt;&gt;"",H213&lt;&gt;"",B213+C213/1440&gt;H213),"Depois de fechar; ",""))</f>
        <v/>
      </c>
    </row>
    <row r="214" customFormat="false" ht="15" hidden="false" customHeight="false" outlineLevel="0" collapsed="false">
      <c r="A214" s="7"/>
      <c r="B214" s="10"/>
      <c r="C214" s="11"/>
      <c r="D214" s="8"/>
      <c r="E214" s="8"/>
      <c r="F214" s="8"/>
      <c r="G214" s="10"/>
      <c r="H214" s="10"/>
      <c r="I214" s="8"/>
      <c r="J214" s="11"/>
      <c r="K214" s="8"/>
      <c r="L214" s="8"/>
      <c r="M214" s="8"/>
      <c r="N214" s="11"/>
      <c r="O214" s="8"/>
      <c r="P214" s="12"/>
      <c r="Q214" s="8"/>
      <c r="R214" s="8"/>
      <c r="S214" s="9" t="str">
        <f aca="false">IF(E214="","",IF(AND(OR(D214="Restaurante",D214="Ingresso"),OR(K214="",K214="A decidir")),"Reserva a decidir; ","")&amp;IF(AND(D214="Ingresso",K214="Não"),"Ingresso não comprado; ","")&amp;IF(AND(K214="Sim",L214=""),"Reserva sem código; ","")&amp;IF(I214="Sim","Fechado no dia; ","")&amp;IF(AND(B214&lt;&gt;"",G214&lt;&gt;"",B214&lt;G214),"Antes de abrir; ","")&amp;IF(AND(B214&lt;&gt;"",H214&lt;&gt;"",B214+C214/1440&gt;H214),"Depois de fechar; ",""))</f>
        <v/>
      </c>
    </row>
    <row r="215" customFormat="false" ht="15" hidden="false" customHeight="false" outlineLevel="0" collapsed="false">
      <c r="A215" s="7"/>
      <c r="B215" s="10"/>
      <c r="C215" s="11"/>
      <c r="D215" s="8"/>
      <c r="E215" s="8"/>
      <c r="F215" s="8"/>
      <c r="G215" s="10"/>
      <c r="H215" s="10"/>
      <c r="I215" s="8"/>
      <c r="J215" s="11"/>
      <c r="K215" s="8"/>
      <c r="L215" s="8"/>
      <c r="M215" s="8"/>
      <c r="N215" s="11"/>
      <c r="O215" s="8"/>
      <c r="P215" s="12"/>
      <c r="Q215" s="8"/>
      <c r="R215" s="8"/>
      <c r="S215" s="9" t="str">
        <f aca="false">IF(E215="","",IF(AND(OR(D215="Restaurante",D215="Ingresso"),OR(K215="",K215="A decidir")),"Reserva a decidir; ","")&amp;IF(AND(D215="Ingresso",K215="Não"),"Ingresso não comprado; ","")&amp;IF(AND(K215="Sim",L215=""),"Reserva sem código; ","")&amp;IF(I215="Sim","Fechado no dia; ","")&amp;IF(AND(B215&lt;&gt;"",G215&lt;&gt;"",B215&lt;G215),"Antes de abrir; ","")&amp;IF(AND(B215&lt;&gt;"",H215&lt;&gt;"",B215+C215/1440&gt;H215),"Depois de fechar; ",""))</f>
        <v/>
      </c>
    </row>
    <row r="216" customFormat="false" ht="15" hidden="false" customHeight="false" outlineLevel="0" collapsed="false">
      <c r="A216" s="7"/>
      <c r="B216" s="10"/>
      <c r="C216" s="11"/>
      <c r="D216" s="8"/>
      <c r="E216" s="8"/>
      <c r="F216" s="8"/>
      <c r="G216" s="10"/>
      <c r="H216" s="10"/>
      <c r="I216" s="8"/>
      <c r="J216" s="11"/>
      <c r="K216" s="8"/>
      <c r="L216" s="8"/>
      <c r="M216" s="8"/>
      <c r="N216" s="11"/>
      <c r="O216" s="8"/>
      <c r="P216" s="12"/>
      <c r="Q216" s="8"/>
      <c r="R216" s="8"/>
      <c r="S216" s="9" t="str">
        <f aca="false">IF(E216="","",IF(AND(OR(D216="Restaurante",D216="Ingresso"),OR(K216="",K216="A decidir")),"Reserva a decidir; ","")&amp;IF(AND(D216="Ingresso",K216="Não"),"Ingresso não comprado; ","")&amp;IF(AND(K216="Sim",L216=""),"Reserva sem código; ","")&amp;IF(I216="Sim","Fechado no dia; ","")&amp;IF(AND(B216&lt;&gt;"",G216&lt;&gt;"",B216&lt;G216),"Antes de abrir; ","")&amp;IF(AND(B216&lt;&gt;"",H216&lt;&gt;"",B216+C216/1440&gt;H216),"Depois de fechar; ",""))</f>
        <v/>
      </c>
    </row>
    <row r="217" customFormat="false" ht="15" hidden="false" customHeight="false" outlineLevel="0" collapsed="false">
      <c r="A217" s="7"/>
      <c r="B217" s="10"/>
      <c r="C217" s="11"/>
      <c r="D217" s="8"/>
      <c r="E217" s="8"/>
      <c r="F217" s="8"/>
      <c r="G217" s="10"/>
      <c r="H217" s="10"/>
      <c r="I217" s="8"/>
      <c r="J217" s="11"/>
      <c r="K217" s="8"/>
      <c r="L217" s="8"/>
      <c r="M217" s="8"/>
      <c r="N217" s="11"/>
      <c r="O217" s="8"/>
      <c r="P217" s="12"/>
      <c r="Q217" s="8"/>
      <c r="R217" s="8"/>
      <c r="S217" s="9" t="str">
        <f aca="false">IF(E217="","",IF(AND(OR(D217="Restaurante",D217="Ingresso"),OR(K217="",K217="A decidir")),"Reserva a decidir; ","")&amp;IF(AND(D217="Ingresso",K217="Não"),"Ingresso não comprado; ","")&amp;IF(AND(K217="Sim",L217=""),"Reserva sem código; ","")&amp;IF(I217="Sim","Fechado no dia; ","")&amp;IF(AND(B217&lt;&gt;"",G217&lt;&gt;"",B217&lt;G217),"Antes de abrir; ","")&amp;IF(AND(B217&lt;&gt;"",H217&lt;&gt;"",B217+C217/1440&gt;H217),"Depois de fechar; ",""))</f>
        <v/>
      </c>
    </row>
    <row r="218" customFormat="false" ht="15" hidden="false" customHeight="false" outlineLevel="0" collapsed="false">
      <c r="A218" s="7"/>
      <c r="B218" s="10"/>
      <c r="C218" s="11"/>
      <c r="D218" s="8"/>
      <c r="E218" s="8"/>
      <c r="F218" s="8"/>
      <c r="G218" s="10"/>
      <c r="H218" s="10"/>
      <c r="I218" s="8"/>
      <c r="J218" s="11"/>
      <c r="K218" s="8"/>
      <c r="L218" s="8"/>
      <c r="M218" s="8"/>
      <c r="N218" s="11"/>
      <c r="O218" s="8"/>
      <c r="P218" s="12"/>
      <c r="Q218" s="8"/>
      <c r="R218" s="8"/>
      <c r="S218" s="9" t="str">
        <f aca="false">IF(E218="","",IF(AND(OR(D218="Restaurante",D218="Ingresso"),OR(K218="",K218="A decidir")),"Reserva a decidir; ","")&amp;IF(AND(D218="Ingresso",K218="Não"),"Ingresso não comprado; ","")&amp;IF(AND(K218="Sim",L218=""),"Reserva sem código; ","")&amp;IF(I218="Sim","Fechado no dia; ","")&amp;IF(AND(B218&lt;&gt;"",G218&lt;&gt;"",B218&lt;G218),"Antes de abrir; ","")&amp;IF(AND(B218&lt;&gt;"",H218&lt;&gt;"",B218+C218/1440&gt;H218),"Depois de fechar; ",""))</f>
        <v/>
      </c>
    </row>
    <row r="219" customFormat="false" ht="15" hidden="false" customHeight="false" outlineLevel="0" collapsed="false">
      <c r="A219" s="7"/>
      <c r="B219" s="10"/>
      <c r="C219" s="11"/>
      <c r="D219" s="8"/>
      <c r="E219" s="8"/>
      <c r="F219" s="8"/>
      <c r="G219" s="10"/>
      <c r="H219" s="10"/>
      <c r="I219" s="8"/>
      <c r="J219" s="11"/>
      <c r="K219" s="8"/>
      <c r="L219" s="8"/>
      <c r="M219" s="8"/>
      <c r="N219" s="11"/>
      <c r="O219" s="8"/>
      <c r="P219" s="12"/>
      <c r="Q219" s="8"/>
      <c r="R219" s="8"/>
      <c r="S219" s="9" t="str">
        <f aca="false">IF(E219="","",IF(AND(OR(D219="Restaurante",D219="Ingresso"),OR(K219="",K219="A decidir")),"Reserva a decidir; ","")&amp;IF(AND(D219="Ingresso",K219="Não"),"Ingresso não comprado; ","")&amp;IF(AND(K219="Sim",L219=""),"Reserva sem código; ","")&amp;IF(I219="Sim","Fechado no dia; ","")&amp;IF(AND(B219&lt;&gt;"",G219&lt;&gt;"",B219&lt;G219),"Antes de abrir; ","")&amp;IF(AND(B219&lt;&gt;"",H219&lt;&gt;"",B219+C219/1440&gt;H219),"Depois de fechar; ",""))</f>
        <v/>
      </c>
    </row>
    <row r="220" customFormat="false" ht="15" hidden="false" customHeight="false" outlineLevel="0" collapsed="false">
      <c r="A220" s="7"/>
      <c r="B220" s="10"/>
      <c r="C220" s="11"/>
      <c r="D220" s="8"/>
      <c r="E220" s="8"/>
      <c r="F220" s="8"/>
      <c r="G220" s="10"/>
      <c r="H220" s="10"/>
      <c r="I220" s="8"/>
      <c r="J220" s="11"/>
      <c r="K220" s="8"/>
      <c r="L220" s="8"/>
      <c r="M220" s="8"/>
      <c r="N220" s="11"/>
      <c r="O220" s="8"/>
      <c r="P220" s="12"/>
      <c r="Q220" s="8"/>
      <c r="R220" s="8"/>
      <c r="S220" s="9" t="str">
        <f aca="false">IF(E220="","",IF(AND(OR(D220="Restaurante",D220="Ingresso"),OR(K220="",K220="A decidir")),"Reserva a decidir; ","")&amp;IF(AND(D220="Ingresso",K220="Não"),"Ingresso não comprado; ","")&amp;IF(AND(K220="Sim",L220=""),"Reserva sem código; ","")&amp;IF(I220="Sim","Fechado no dia; ","")&amp;IF(AND(B220&lt;&gt;"",G220&lt;&gt;"",B220&lt;G220),"Antes de abrir; ","")&amp;IF(AND(B220&lt;&gt;"",H220&lt;&gt;"",B220+C220/1440&gt;H220),"Depois de fechar; ",""))</f>
        <v/>
      </c>
    </row>
    <row r="221" customFormat="false" ht="15" hidden="false" customHeight="false" outlineLevel="0" collapsed="false">
      <c r="A221" s="7"/>
      <c r="B221" s="10"/>
      <c r="C221" s="11"/>
      <c r="D221" s="8"/>
      <c r="E221" s="8"/>
      <c r="F221" s="8"/>
      <c r="G221" s="10"/>
      <c r="H221" s="10"/>
      <c r="I221" s="8"/>
      <c r="J221" s="11"/>
      <c r="K221" s="8"/>
      <c r="L221" s="8"/>
      <c r="M221" s="8"/>
      <c r="N221" s="11"/>
      <c r="O221" s="8"/>
      <c r="P221" s="12"/>
      <c r="Q221" s="8"/>
      <c r="R221" s="8"/>
      <c r="S221" s="9" t="str">
        <f aca="false">IF(E221="","",IF(AND(OR(D221="Restaurante",D221="Ingresso"),OR(K221="",K221="A decidir")),"Reserva a decidir; ","")&amp;IF(AND(D221="Ingresso",K221="Não"),"Ingresso não comprado; ","")&amp;IF(AND(K221="Sim",L221=""),"Reserva sem código; ","")&amp;IF(I221="Sim","Fechado no dia; ","")&amp;IF(AND(B221&lt;&gt;"",G221&lt;&gt;"",B221&lt;G221),"Antes de abrir; ","")&amp;IF(AND(B221&lt;&gt;"",H221&lt;&gt;"",B221+C221/1440&gt;H221),"Depois de fechar; ",""))</f>
        <v/>
      </c>
    </row>
    <row r="222" customFormat="false" ht="15" hidden="false" customHeight="false" outlineLevel="0" collapsed="false">
      <c r="A222" s="7"/>
      <c r="B222" s="10"/>
      <c r="C222" s="11"/>
      <c r="D222" s="8"/>
      <c r="E222" s="8"/>
      <c r="F222" s="8"/>
      <c r="G222" s="10"/>
      <c r="H222" s="10"/>
      <c r="I222" s="8"/>
      <c r="J222" s="11"/>
      <c r="K222" s="8"/>
      <c r="L222" s="8"/>
      <c r="M222" s="8"/>
      <c r="N222" s="11"/>
      <c r="O222" s="8"/>
      <c r="P222" s="12"/>
      <c r="Q222" s="8"/>
      <c r="R222" s="8"/>
      <c r="S222" s="9" t="str">
        <f aca="false">IF(E222="","",IF(AND(OR(D222="Restaurante",D222="Ingresso"),OR(K222="",K222="A decidir")),"Reserva a decidir; ","")&amp;IF(AND(D222="Ingresso",K222="Não"),"Ingresso não comprado; ","")&amp;IF(AND(K222="Sim",L222=""),"Reserva sem código; ","")&amp;IF(I222="Sim","Fechado no dia; ","")&amp;IF(AND(B222&lt;&gt;"",G222&lt;&gt;"",B222&lt;G222),"Antes de abrir; ","")&amp;IF(AND(B222&lt;&gt;"",H222&lt;&gt;"",B222+C222/1440&gt;H222),"Depois de fechar; ",""))</f>
        <v/>
      </c>
    </row>
    <row r="223" customFormat="false" ht="15" hidden="false" customHeight="false" outlineLevel="0" collapsed="false">
      <c r="A223" s="7"/>
      <c r="B223" s="10"/>
      <c r="C223" s="11"/>
      <c r="D223" s="8"/>
      <c r="E223" s="8"/>
      <c r="F223" s="8"/>
      <c r="G223" s="10"/>
      <c r="H223" s="10"/>
      <c r="I223" s="8"/>
      <c r="J223" s="11"/>
      <c r="K223" s="8"/>
      <c r="L223" s="8"/>
      <c r="M223" s="8"/>
      <c r="N223" s="11"/>
      <c r="O223" s="8"/>
      <c r="P223" s="12"/>
      <c r="Q223" s="8"/>
      <c r="R223" s="8"/>
      <c r="S223" s="9" t="str">
        <f aca="false">IF(E223="","",IF(AND(OR(D223="Restaurante",D223="Ingresso"),OR(K223="",K223="A decidir")),"Reserva a decidir; ","")&amp;IF(AND(D223="Ingresso",K223="Não"),"Ingresso não comprado; ","")&amp;IF(AND(K223="Sim",L223=""),"Reserva sem código; ","")&amp;IF(I223="Sim","Fechado no dia; ","")&amp;IF(AND(B223&lt;&gt;"",G223&lt;&gt;"",B223&lt;G223),"Antes de abrir; ","")&amp;IF(AND(B223&lt;&gt;"",H223&lt;&gt;"",B223+C223/1440&gt;H223),"Depois de fechar; ",""))</f>
        <v/>
      </c>
    </row>
    <row r="224" customFormat="false" ht="15" hidden="false" customHeight="false" outlineLevel="0" collapsed="false">
      <c r="A224" s="7"/>
      <c r="B224" s="10"/>
      <c r="C224" s="11"/>
      <c r="D224" s="8"/>
      <c r="E224" s="8"/>
      <c r="F224" s="8"/>
      <c r="G224" s="10"/>
      <c r="H224" s="10"/>
      <c r="I224" s="8"/>
      <c r="J224" s="11"/>
      <c r="K224" s="8"/>
      <c r="L224" s="8"/>
      <c r="M224" s="8"/>
      <c r="N224" s="11"/>
      <c r="O224" s="8"/>
      <c r="P224" s="12"/>
      <c r="Q224" s="8"/>
      <c r="R224" s="8"/>
      <c r="S224" s="9" t="str">
        <f aca="false">IF(E224="","",IF(AND(OR(D224="Restaurante",D224="Ingresso"),OR(K224="",K224="A decidir")),"Reserva a decidir; ","")&amp;IF(AND(D224="Ingresso",K224="Não"),"Ingresso não comprado; ","")&amp;IF(AND(K224="Sim",L224=""),"Reserva sem código; ","")&amp;IF(I224="Sim","Fechado no dia; ","")&amp;IF(AND(B224&lt;&gt;"",G224&lt;&gt;"",B224&lt;G224),"Antes de abrir; ","")&amp;IF(AND(B224&lt;&gt;"",H224&lt;&gt;"",B224+C224/1440&gt;H224),"Depois de fechar; ",""))</f>
        <v/>
      </c>
    </row>
    <row r="225" customFormat="false" ht="15" hidden="false" customHeight="false" outlineLevel="0" collapsed="false">
      <c r="A225" s="7"/>
      <c r="B225" s="10"/>
      <c r="C225" s="11"/>
      <c r="D225" s="8"/>
      <c r="E225" s="8"/>
      <c r="F225" s="8"/>
      <c r="G225" s="10"/>
      <c r="H225" s="10"/>
      <c r="I225" s="8"/>
      <c r="J225" s="11"/>
      <c r="K225" s="8"/>
      <c r="L225" s="8"/>
      <c r="M225" s="8"/>
      <c r="N225" s="11"/>
      <c r="O225" s="8"/>
      <c r="P225" s="12"/>
      <c r="Q225" s="8"/>
      <c r="R225" s="8"/>
      <c r="S225" s="9" t="str">
        <f aca="false">IF(E225="","",IF(AND(OR(D225="Restaurante",D225="Ingresso"),OR(K225="",K225="A decidir")),"Reserva a decidir; ","")&amp;IF(AND(D225="Ingresso",K225="Não"),"Ingresso não comprado; ","")&amp;IF(AND(K225="Sim",L225=""),"Reserva sem código; ","")&amp;IF(I225="Sim","Fechado no dia; ","")&amp;IF(AND(B225&lt;&gt;"",G225&lt;&gt;"",B225&lt;G225),"Antes de abrir; ","")&amp;IF(AND(B225&lt;&gt;"",H225&lt;&gt;"",B225+C225/1440&gt;H225),"Depois de fechar; ",""))</f>
        <v/>
      </c>
    </row>
    <row r="226" customFormat="false" ht="15" hidden="false" customHeight="false" outlineLevel="0" collapsed="false">
      <c r="A226" s="7"/>
      <c r="B226" s="10"/>
      <c r="C226" s="11"/>
      <c r="D226" s="8"/>
      <c r="E226" s="8"/>
      <c r="F226" s="8"/>
      <c r="G226" s="10"/>
      <c r="H226" s="10"/>
      <c r="I226" s="8"/>
      <c r="J226" s="11"/>
      <c r="K226" s="8"/>
      <c r="L226" s="8"/>
      <c r="M226" s="8"/>
      <c r="N226" s="11"/>
      <c r="O226" s="8"/>
      <c r="P226" s="12"/>
      <c r="Q226" s="8"/>
      <c r="R226" s="8"/>
      <c r="S226" s="9" t="str">
        <f aca="false">IF(E226="","",IF(AND(OR(D226="Restaurante",D226="Ingresso"),OR(K226="",K226="A decidir")),"Reserva a decidir; ","")&amp;IF(AND(D226="Ingresso",K226="Não"),"Ingresso não comprado; ","")&amp;IF(AND(K226="Sim",L226=""),"Reserva sem código; ","")&amp;IF(I226="Sim","Fechado no dia; ","")&amp;IF(AND(B226&lt;&gt;"",G226&lt;&gt;"",B226&lt;G226),"Antes de abrir; ","")&amp;IF(AND(B226&lt;&gt;"",H226&lt;&gt;"",B226+C226/1440&gt;H226),"Depois de fechar; ",""))</f>
        <v/>
      </c>
    </row>
    <row r="227" customFormat="false" ht="15" hidden="false" customHeight="false" outlineLevel="0" collapsed="false">
      <c r="A227" s="7"/>
      <c r="B227" s="10"/>
      <c r="C227" s="11"/>
      <c r="D227" s="8"/>
      <c r="E227" s="8"/>
      <c r="F227" s="8"/>
      <c r="G227" s="10"/>
      <c r="H227" s="10"/>
      <c r="I227" s="8"/>
      <c r="J227" s="11"/>
      <c r="K227" s="8"/>
      <c r="L227" s="8"/>
      <c r="M227" s="8"/>
      <c r="N227" s="11"/>
      <c r="O227" s="8"/>
      <c r="P227" s="12"/>
      <c r="Q227" s="8"/>
      <c r="R227" s="8"/>
      <c r="S227" s="9" t="str">
        <f aca="false">IF(E227="","",IF(AND(OR(D227="Restaurante",D227="Ingresso"),OR(K227="",K227="A decidir")),"Reserva a decidir; ","")&amp;IF(AND(D227="Ingresso",K227="Não"),"Ingresso não comprado; ","")&amp;IF(AND(K227="Sim",L227=""),"Reserva sem código; ","")&amp;IF(I227="Sim","Fechado no dia; ","")&amp;IF(AND(B227&lt;&gt;"",G227&lt;&gt;"",B227&lt;G227),"Antes de abrir; ","")&amp;IF(AND(B227&lt;&gt;"",H227&lt;&gt;"",B227+C227/1440&gt;H227),"Depois de fechar; ",""))</f>
        <v/>
      </c>
    </row>
    <row r="228" customFormat="false" ht="15" hidden="false" customHeight="false" outlineLevel="0" collapsed="false">
      <c r="A228" s="7"/>
      <c r="B228" s="10"/>
      <c r="C228" s="11"/>
      <c r="D228" s="8"/>
      <c r="E228" s="8"/>
      <c r="F228" s="8"/>
      <c r="G228" s="10"/>
      <c r="H228" s="10"/>
      <c r="I228" s="8"/>
      <c r="J228" s="11"/>
      <c r="K228" s="8"/>
      <c r="L228" s="8"/>
      <c r="M228" s="8"/>
      <c r="N228" s="11"/>
      <c r="O228" s="8"/>
      <c r="P228" s="12"/>
      <c r="Q228" s="8"/>
      <c r="R228" s="8"/>
      <c r="S228" s="9" t="str">
        <f aca="false">IF(E228="","",IF(AND(OR(D228="Restaurante",D228="Ingresso"),OR(K228="",K228="A decidir")),"Reserva a decidir; ","")&amp;IF(AND(D228="Ingresso",K228="Não"),"Ingresso não comprado; ","")&amp;IF(AND(K228="Sim",L228=""),"Reserva sem código; ","")&amp;IF(I228="Sim","Fechado no dia; ","")&amp;IF(AND(B228&lt;&gt;"",G228&lt;&gt;"",B228&lt;G228),"Antes de abrir; ","")&amp;IF(AND(B228&lt;&gt;"",H228&lt;&gt;"",B228+C228/1440&gt;H228),"Depois de fechar; ",""))</f>
        <v/>
      </c>
    </row>
    <row r="229" customFormat="false" ht="15" hidden="false" customHeight="false" outlineLevel="0" collapsed="false">
      <c r="A229" s="7"/>
      <c r="B229" s="10"/>
      <c r="C229" s="11"/>
      <c r="D229" s="8"/>
      <c r="E229" s="8"/>
      <c r="F229" s="8"/>
      <c r="G229" s="10"/>
      <c r="H229" s="10"/>
      <c r="I229" s="8"/>
      <c r="J229" s="11"/>
      <c r="K229" s="8"/>
      <c r="L229" s="8"/>
      <c r="M229" s="8"/>
      <c r="N229" s="11"/>
      <c r="O229" s="8"/>
      <c r="P229" s="12"/>
      <c r="Q229" s="8"/>
      <c r="R229" s="8"/>
      <c r="S229" s="9" t="str">
        <f aca="false">IF(E229="","",IF(AND(OR(D229="Restaurante",D229="Ingresso"),OR(K229="",K229="A decidir")),"Reserva a decidir; ","")&amp;IF(AND(D229="Ingresso",K229="Não"),"Ingresso não comprado; ","")&amp;IF(AND(K229="Sim",L229=""),"Reserva sem código; ","")&amp;IF(I229="Sim","Fechado no dia; ","")&amp;IF(AND(B229&lt;&gt;"",G229&lt;&gt;"",B229&lt;G229),"Antes de abrir; ","")&amp;IF(AND(B229&lt;&gt;"",H229&lt;&gt;"",B229+C229/1440&gt;H229),"Depois de fechar; ",""))</f>
        <v/>
      </c>
    </row>
    <row r="230" customFormat="false" ht="15" hidden="false" customHeight="false" outlineLevel="0" collapsed="false">
      <c r="A230" s="7"/>
      <c r="B230" s="10"/>
      <c r="C230" s="11"/>
      <c r="D230" s="8"/>
      <c r="E230" s="8"/>
      <c r="F230" s="8"/>
      <c r="G230" s="10"/>
      <c r="H230" s="10"/>
      <c r="I230" s="8"/>
      <c r="J230" s="11"/>
      <c r="K230" s="8"/>
      <c r="L230" s="8"/>
      <c r="M230" s="8"/>
      <c r="N230" s="11"/>
      <c r="O230" s="8"/>
      <c r="P230" s="12"/>
      <c r="Q230" s="8"/>
      <c r="R230" s="8"/>
      <c r="S230" s="9" t="str">
        <f aca="false">IF(E230="","",IF(AND(OR(D230="Restaurante",D230="Ingresso"),OR(K230="",K230="A decidir")),"Reserva a decidir; ","")&amp;IF(AND(D230="Ingresso",K230="Não"),"Ingresso não comprado; ","")&amp;IF(AND(K230="Sim",L230=""),"Reserva sem código; ","")&amp;IF(I230="Sim","Fechado no dia; ","")&amp;IF(AND(B230&lt;&gt;"",G230&lt;&gt;"",B230&lt;G230),"Antes de abrir; ","")&amp;IF(AND(B230&lt;&gt;"",H230&lt;&gt;"",B230+C230/1440&gt;H230),"Depois de fechar; ",""))</f>
        <v/>
      </c>
    </row>
    <row r="231" customFormat="false" ht="15" hidden="false" customHeight="false" outlineLevel="0" collapsed="false">
      <c r="A231" s="7"/>
      <c r="B231" s="10"/>
      <c r="C231" s="11"/>
      <c r="D231" s="8"/>
      <c r="E231" s="8"/>
      <c r="F231" s="8"/>
      <c r="G231" s="10"/>
      <c r="H231" s="10"/>
      <c r="I231" s="8"/>
      <c r="J231" s="11"/>
      <c r="K231" s="8"/>
      <c r="L231" s="8"/>
      <c r="M231" s="8"/>
      <c r="N231" s="11"/>
      <c r="O231" s="8"/>
      <c r="P231" s="12"/>
      <c r="Q231" s="8"/>
      <c r="R231" s="8"/>
      <c r="S231" s="9" t="str">
        <f aca="false">IF(E231="","",IF(AND(OR(D231="Restaurante",D231="Ingresso"),OR(K231="",K231="A decidir")),"Reserva a decidir; ","")&amp;IF(AND(D231="Ingresso",K231="Não"),"Ingresso não comprado; ","")&amp;IF(AND(K231="Sim",L231=""),"Reserva sem código; ","")&amp;IF(I231="Sim","Fechado no dia; ","")&amp;IF(AND(B231&lt;&gt;"",G231&lt;&gt;"",B231&lt;G231),"Antes de abrir; ","")&amp;IF(AND(B231&lt;&gt;"",H231&lt;&gt;"",B231+C231/1440&gt;H231),"Depois de fechar; ",""))</f>
        <v/>
      </c>
    </row>
    <row r="232" customFormat="false" ht="15" hidden="false" customHeight="false" outlineLevel="0" collapsed="false">
      <c r="A232" s="7"/>
      <c r="B232" s="10"/>
      <c r="C232" s="11"/>
      <c r="D232" s="8"/>
      <c r="E232" s="8"/>
      <c r="F232" s="8"/>
      <c r="G232" s="10"/>
      <c r="H232" s="10"/>
      <c r="I232" s="8"/>
      <c r="J232" s="11"/>
      <c r="K232" s="8"/>
      <c r="L232" s="8"/>
      <c r="M232" s="8"/>
      <c r="N232" s="11"/>
      <c r="O232" s="8"/>
      <c r="P232" s="12"/>
      <c r="Q232" s="8"/>
      <c r="R232" s="8"/>
      <c r="S232" s="9" t="str">
        <f aca="false">IF(E232="","",IF(AND(OR(D232="Restaurante",D232="Ingresso"),OR(K232="",K232="A decidir")),"Reserva a decidir; ","")&amp;IF(AND(D232="Ingresso",K232="Não"),"Ingresso não comprado; ","")&amp;IF(AND(K232="Sim",L232=""),"Reserva sem código; ","")&amp;IF(I232="Sim","Fechado no dia; ","")&amp;IF(AND(B232&lt;&gt;"",G232&lt;&gt;"",B232&lt;G232),"Antes de abrir; ","")&amp;IF(AND(B232&lt;&gt;"",H232&lt;&gt;"",B232+C232/1440&gt;H232),"Depois de fechar; ",""))</f>
        <v/>
      </c>
    </row>
    <row r="233" customFormat="false" ht="15" hidden="false" customHeight="false" outlineLevel="0" collapsed="false">
      <c r="A233" s="7"/>
      <c r="B233" s="10"/>
      <c r="C233" s="11"/>
      <c r="D233" s="8"/>
      <c r="E233" s="8"/>
      <c r="F233" s="8"/>
      <c r="G233" s="10"/>
      <c r="H233" s="10"/>
      <c r="I233" s="8"/>
      <c r="J233" s="11"/>
      <c r="K233" s="8"/>
      <c r="L233" s="8"/>
      <c r="M233" s="8"/>
      <c r="N233" s="11"/>
      <c r="O233" s="8"/>
      <c r="P233" s="12"/>
      <c r="Q233" s="8"/>
      <c r="R233" s="8"/>
      <c r="S233" s="9" t="str">
        <f aca="false">IF(E233="","",IF(AND(OR(D233="Restaurante",D233="Ingresso"),OR(K233="",K233="A decidir")),"Reserva a decidir; ","")&amp;IF(AND(D233="Ingresso",K233="Não"),"Ingresso não comprado; ","")&amp;IF(AND(K233="Sim",L233=""),"Reserva sem código; ","")&amp;IF(I233="Sim","Fechado no dia; ","")&amp;IF(AND(B233&lt;&gt;"",G233&lt;&gt;"",B233&lt;G233),"Antes de abrir; ","")&amp;IF(AND(B233&lt;&gt;"",H233&lt;&gt;"",B233+C233/1440&gt;H233),"Depois de fechar; ",""))</f>
        <v/>
      </c>
    </row>
    <row r="234" customFormat="false" ht="15" hidden="false" customHeight="false" outlineLevel="0" collapsed="false">
      <c r="A234" s="7"/>
      <c r="B234" s="10"/>
      <c r="C234" s="11"/>
      <c r="D234" s="8"/>
      <c r="E234" s="8"/>
      <c r="F234" s="8"/>
      <c r="G234" s="10"/>
      <c r="H234" s="10"/>
      <c r="I234" s="8"/>
      <c r="J234" s="11"/>
      <c r="K234" s="8"/>
      <c r="L234" s="8"/>
      <c r="M234" s="8"/>
      <c r="N234" s="11"/>
      <c r="O234" s="8"/>
      <c r="P234" s="12"/>
      <c r="Q234" s="8"/>
      <c r="R234" s="8"/>
      <c r="S234" s="9" t="str">
        <f aca="false">IF(E234="","",IF(AND(OR(D234="Restaurante",D234="Ingresso"),OR(K234="",K234="A decidir")),"Reserva a decidir; ","")&amp;IF(AND(D234="Ingresso",K234="Não"),"Ingresso não comprado; ","")&amp;IF(AND(K234="Sim",L234=""),"Reserva sem código; ","")&amp;IF(I234="Sim","Fechado no dia; ","")&amp;IF(AND(B234&lt;&gt;"",G234&lt;&gt;"",B234&lt;G234),"Antes de abrir; ","")&amp;IF(AND(B234&lt;&gt;"",H234&lt;&gt;"",B234+C234/1440&gt;H234),"Depois de fechar; ",""))</f>
        <v/>
      </c>
    </row>
    <row r="235" customFormat="false" ht="15" hidden="false" customHeight="false" outlineLevel="0" collapsed="false">
      <c r="A235" s="7"/>
      <c r="B235" s="10"/>
      <c r="C235" s="11"/>
      <c r="D235" s="8"/>
      <c r="E235" s="8"/>
      <c r="F235" s="8"/>
      <c r="G235" s="10"/>
      <c r="H235" s="10"/>
      <c r="I235" s="8"/>
      <c r="J235" s="11"/>
      <c r="K235" s="8"/>
      <c r="L235" s="8"/>
      <c r="M235" s="8"/>
      <c r="N235" s="11"/>
      <c r="O235" s="8"/>
      <c r="P235" s="12"/>
      <c r="Q235" s="8"/>
      <c r="R235" s="8"/>
      <c r="S235" s="9" t="str">
        <f aca="false">IF(E235="","",IF(AND(OR(D235="Restaurante",D235="Ingresso"),OR(K235="",K235="A decidir")),"Reserva a decidir; ","")&amp;IF(AND(D235="Ingresso",K235="Não"),"Ingresso não comprado; ","")&amp;IF(AND(K235="Sim",L235=""),"Reserva sem código; ","")&amp;IF(I235="Sim","Fechado no dia; ","")&amp;IF(AND(B235&lt;&gt;"",G235&lt;&gt;"",B235&lt;G235),"Antes de abrir; ","")&amp;IF(AND(B235&lt;&gt;"",H235&lt;&gt;"",B235+C235/1440&gt;H235),"Depois de fechar; ",""))</f>
        <v/>
      </c>
    </row>
    <row r="236" customFormat="false" ht="15" hidden="false" customHeight="false" outlineLevel="0" collapsed="false">
      <c r="A236" s="7"/>
      <c r="B236" s="10"/>
      <c r="C236" s="11"/>
      <c r="D236" s="8"/>
      <c r="E236" s="8"/>
      <c r="F236" s="8"/>
      <c r="G236" s="10"/>
      <c r="H236" s="10"/>
      <c r="I236" s="8"/>
      <c r="J236" s="11"/>
      <c r="K236" s="8"/>
      <c r="L236" s="8"/>
      <c r="M236" s="8"/>
      <c r="N236" s="11"/>
      <c r="O236" s="8"/>
      <c r="P236" s="12"/>
      <c r="Q236" s="8"/>
      <c r="R236" s="8"/>
      <c r="S236" s="9" t="str">
        <f aca="false">IF(E236="","",IF(AND(OR(D236="Restaurante",D236="Ingresso"),OR(K236="",K236="A decidir")),"Reserva a decidir; ","")&amp;IF(AND(D236="Ingresso",K236="Não"),"Ingresso não comprado; ","")&amp;IF(AND(K236="Sim",L236=""),"Reserva sem código; ","")&amp;IF(I236="Sim","Fechado no dia; ","")&amp;IF(AND(B236&lt;&gt;"",G236&lt;&gt;"",B236&lt;G236),"Antes de abrir; ","")&amp;IF(AND(B236&lt;&gt;"",H236&lt;&gt;"",B236+C236/1440&gt;H236),"Depois de fechar; ",""))</f>
        <v/>
      </c>
    </row>
    <row r="237" customFormat="false" ht="15" hidden="false" customHeight="false" outlineLevel="0" collapsed="false">
      <c r="A237" s="7"/>
      <c r="B237" s="10"/>
      <c r="C237" s="11"/>
      <c r="D237" s="8"/>
      <c r="E237" s="8"/>
      <c r="F237" s="8"/>
      <c r="G237" s="10"/>
      <c r="H237" s="10"/>
      <c r="I237" s="8"/>
      <c r="J237" s="11"/>
      <c r="K237" s="8"/>
      <c r="L237" s="8"/>
      <c r="M237" s="8"/>
      <c r="N237" s="11"/>
      <c r="O237" s="8"/>
      <c r="P237" s="12"/>
      <c r="Q237" s="8"/>
      <c r="R237" s="8"/>
      <c r="S237" s="9" t="str">
        <f aca="false">IF(E237="","",IF(AND(OR(D237="Restaurante",D237="Ingresso"),OR(K237="",K237="A decidir")),"Reserva a decidir; ","")&amp;IF(AND(D237="Ingresso",K237="Não"),"Ingresso não comprado; ","")&amp;IF(AND(K237="Sim",L237=""),"Reserva sem código; ","")&amp;IF(I237="Sim","Fechado no dia; ","")&amp;IF(AND(B237&lt;&gt;"",G237&lt;&gt;"",B237&lt;G237),"Antes de abrir; ","")&amp;IF(AND(B237&lt;&gt;"",H237&lt;&gt;"",B237+C237/1440&gt;H237),"Depois de fechar; ",""))</f>
        <v/>
      </c>
    </row>
    <row r="238" customFormat="false" ht="15" hidden="false" customHeight="false" outlineLevel="0" collapsed="false">
      <c r="A238" s="7"/>
      <c r="B238" s="10"/>
      <c r="C238" s="11"/>
      <c r="D238" s="8"/>
      <c r="E238" s="8"/>
      <c r="F238" s="8"/>
      <c r="G238" s="10"/>
      <c r="H238" s="10"/>
      <c r="I238" s="8"/>
      <c r="J238" s="11"/>
      <c r="K238" s="8"/>
      <c r="L238" s="8"/>
      <c r="M238" s="8"/>
      <c r="N238" s="11"/>
      <c r="O238" s="8"/>
      <c r="P238" s="12"/>
      <c r="Q238" s="8"/>
      <c r="R238" s="8"/>
      <c r="S238" s="9" t="str">
        <f aca="false">IF(E238="","",IF(AND(OR(D238="Restaurante",D238="Ingresso"),OR(K238="",K238="A decidir")),"Reserva a decidir; ","")&amp;IF(AND(D238="Ingresso",K238="Não"),"Ingresso não comprado; ","")&amp;IF(AND(K238="Sim",L238=""),"Reserva sem código; ","")&amp;IF(I238="Sim","Fechado no dia; ","")&amp;IF(AND(B238&lt;&gt;"",G238&lt;&gt;"",B238&lt;G238),"Antes de abrir; ","")&amp;IF(AND(B238&lt;&gt;"",H238&lt;&gt;"",B238+C238/1440&gt;H238),"Depois de fechar; ",""))</f>
        <v/>
      </c>
    </row>
    <row r="239" customFormat="false" ht="15" hidden="false" customHeight="false" outlineLevel="0" collapsed="false">
      <c r="A239" s="7"/>
      <c r="B239" s="10"/>
      <c r="C239" s="11"/>
      <c r="D239" s="8"/>
      <c r="E239" s="8"/>
      <c r="F239" s="8"/>
      <c r="G239" s="10"/>
      <c r="H239" s="10"/>
      <c r="I239" s="8"/>
      <c r="J239" s="11"/>
      <c r="K239" s="8"/>
      <c r="L239" s="8"/>
      <c r="M239" s="8"/>
      <c r="N239" s="11"/>
      <c r="O239" s="8"/>
      <c r="P239" s="12"/>
      <c r="Q239" s="8"/>
      <c r="R239" s="8"/>
      <c r="S239" s="9" t="str">
        <f aca="false">IF(E239="","",IF(AND(OR(D239="Restaurante",D239="Ingresso"),OR(K239="",K239="A decidir")),"Reserva a decidir; ","")&amp;IF(AND(D239="Ingresso",K239="Não"),"Ingresso não comprado; ","")&amp;IF(AND(K239="Sim",L239=""),"Reserva sem código; ","")&amp;IF(I239="Sim","Fechado no dia; ","")&amp;IF(AND(B239&lt;&gt;"",G239&lt;&gt;"",B239&lt;G239),"Antes de abrir; ","")&amp;IF(AND(B239&lt;&gt;"",H239&lt;&gt;"",B239+C239/1440&gt;H239),"Depois de fechar; ",""))</f>
        <v/>
      </c>
    </row>
    <row r="240" customFormat="false" ht="15" hidden="false" customHeight="false" outlineLevel="0" collapsed="false">
      <c r="A240" s="7"/>
      <c r="B240" s="10"/>
      <c r="C240" s="11"/>
      <c r="D240" s="8"/>
      <c r="E240" s="8"/>
      <c r="F240" s="8"/>
      <c r="G240" s="10"/>
      <c r="H240" s="10"/>
      <c r="I240" s="8"/>
      <c r="J240" s="11"/>
      <c r="K240" s="8"/>
      <c r="L240" s="8"/>
      <c r="M240" s="8"/>
      <c r="N240" s="11"/>
      <c r="O240" s="8"/>
      <c r="P240" s="12"/>
      <c r="Q240" s="8"/>
      <c r="R240" s="8"/>
      <c r="S240" s="9" t="str">
        <f aca="false">IF(E240="","",IF(AND(OR(D240="Restaurante",D240="Ingresso"),OR(K240="",K240="A decidir")),"Reserva a decidir; ","")&amp;IF(AND(D240="Ingresso",K240="Não"),"Ingresso não comprado; ","")&amp;IF(AND(K240="Sim",L240=""),"Reserva sem código; ","")&amp;IF(I240="Sim","Fechado no dia; ","")&amp;IF(AND(B240&lt;&gt;"",G240&lt;&gt;"",B240&lt;G240),"Antes de abrir; ","")&amp;IF(AND(B240&lt;&gt;"",H240&lt;&gt;"",B240+C240/1440&gt;H240),"Depois de fechar; ",""))</f>
        <v/>
      </c>
    </row>
    <row r="241" customFormat="false" ht="15" hidden="false" customHeight="false" outlineLevel="0" collapsed="false">
      <c r="A241" s="7"/>
      <c r="B241" s="10"/>
      <c r="C241" s="11"/>
      <c r="D241" s="8"/>
      <c r="E241" s="8"/>
      <c r="F241" s="8"/>
      <c r="G241" s="10"/>
      <c r="H241" s="10"/>
      <c r="I241" s="8"/>
      <c r="J241" s="11"/>
      <c r="K241" s="8"/>
      <c r="L241" s="8"/>
      <c r="M241" s="8"/>
      <c r="N241" s="11"/>
      <c r="O241" s="8"/>
      <c r="P241" s="12"/>
      <c r="Q241" s="8"/>
      <c r="R241" s="8"/>
      <c r="S241" s="9" t="str">
        <f aca="false">IF(E241="","",IF(AND(OR(D241="Restaurante",D241="Ingresso"),OR(K241="",K241="A decidir")),"Reserva a decidir; ","")&amp;IF(AND(D241="Ingresso",K241="Não"),"Ingresso não comprado; ","")&amp;IF(AND(K241="Sim",L241=""),"Reserva sem código; ","")&amp;IF(I241="Sim","Fechado no dia; ","")&amp;IF(AND(B241&lt;&gt;"",G241&lt;&gt;"",B241&lt;G241),"Antes de abrir; ","")&amp;IF(AND(B241&lt;&gt;"",H241&lt;&gt;"",B241+C241/1440&gt;H241),"Depois de fechar; ",""))</f>
        <v/>
      </c>
    </row>
    <row r="242" customFormat="false" ht="15" hidden="false" customHeight="false" outlineLevel="0" collapsed="false">
      <c r="A242" s="7"/>
      <c r="B242" s="10"/>
      <c r="C242" s="11"/>
      <c r="D242" s="8"/>
      <c r="E242" s="8"/>
      <c r="F242" s="8"/>
      <c r="G242" s="10"/>
      <c r="H242" s="10"/>
      <c r="I242" s="8"/>
      <c r="J242" s="11"/>
      <c r="K242" s="8"/>
      <c r="L242" s="8"/>
      <c r="M242" s="8"/>
      <c r="N242" s="11"/>
      <c r="O242" s="8"/>
      <c r="P242" s="12"/>
      <c r="Q242" s="8"/>
      <c r="R242" s="8"/>
      <c r="S242" s="9" t="str">
        <f aca="false">IF(E242="","",IF(AND(OR(D242="Restaurante",D242="Ingresso"),OR(K242="",K242="A decidir")),"Reserva a decidir; ","")&amp;IF(AND(D242="Ingresso",K242="Não"),"Ingresso não comprado; ","")&amp;IF(AND(K242="Sim",L242=""),"Reserva sem código; ","")&amp;IF(I242="Sim","Fechado no dia; ","")&amp;IF(AND(B242&lt;&gt;"",G242&lt;&gt;"",B242&lt;G242),"Antes de abrir; ","")&amp;IF(AND(B242&lt;&gt;"",H242&lt;&gt;"",B242+C242/1440&gt;H242),"Depois de fechar; ",""))</f>
        <v/>
      </c>
    </row>
    <row r="243" customFormat="false" ht="15" hidden="false" customHeight="false" outlineLevel="0" collapsed="false">
      <c r="A243" s="7"/>
      <c r="B243" s="10"/>
      <c r="C243" s="11"/>
      <c r="D243" s="8"/>
      <c r="E243" s="8"/>
      <c r="F243" s="8"/>
      <c r="G243" s="10"/>
      <c r="H243" s="10"/>
      <c r="I243" s="8"/>
      <c r="J243" s="11"/>
      <c r="K243" s="8"/>
      <c r="L243" s="8"/>
      <c r="M243" s="8"/>
      <c r="N243" s="11"/>
      <c r="O243" s="8"/>
      <c r="P243" s="12"/>
      <c r="Q243" s="8"/>
      <c r="R243" s="8"/>
      <c r="S243" s="9" t="str">
        <f aca="false">IF(E243="","",IF(AND(OR(D243="Restaurante",D243="Ingresso"),OR(K243="",K243="A decidir")),"Reserva a decidir; ","")&amp;IF(AND(D243="Ingresso",K243="Não"),"Ingresso não comprado; ","")&amp;IF(AND(K243="Sim",L243=""),"Reserva sem código; ","")&amp;IF(I243="Sim","Fechado no dia; ","")&amp;IF(AND(B243&lt;&gt;"",G243&lt;&gt;"",B243&lt;G243),"Antes de abrir; ","")&amp;IF(AND(B243&lt;&gt;"",H243&lt;&gt;"",B243+C243/1440&gt;H243),"Depois de fechar; ",""))</f>
        <v/>
      </c>
    </row>
    <row r="244" customFormat="false" ht="15" hidden="false" customHeight="false" outlineLevel="0" collapsed="false">
      <c r="A244" s="7"/>
      <c r="B244" s="10"/>
      <c r="C244" s="11"/>
      <c r="D244" s="8"/>
      <c r="E244" s="8"/>
      <c r="F244" s="8"/>
      <c r="G244" s="10"/>
      <c r="H244" s="10"/>
      <c r="I244" s="8"/>
      <c r="J244" s="11"/>
      <c r="K244" s="8"/>
      <c r="L244" s="8"/>
      <c r="M244" s="8"/>
      <c r="N244" s="11"/>
      <c r="O244" s="8"/>
      <c r="P244" s="12"/>
      <c r="Q244" s="8"/>
      <c r="R244" s="8"/>
      <c r="S244" s="9" t="str">
        <f aca="false">IF(E244="","",IF(AND(OR(D244="Restaurante",D244="Ingresso"),OR(K244="",K244="A decidir")),"Reserva a decidir; ","")&amp;IF(AND(D244="Ingresso",K244="Não"),"Ingresso não comprado; ","")&amp;IF(AND(K244="Sim",L244=""),"Reserva sem código; ","")&amp;IF(I244="Sim","Fechado no dia; ","")&amp;IF(AND(B244&lt;&gt;"",G244&lt;&gt;"",B244&lt;G244),"Antes de abrir; ","")&amp;IF(AND(B244&lt;&gt;"",H244&lt;&gt;"",B244+C244/1440&gt;H244),"Depois de fechar; ",""))</f>
        <v/>
      </c>
    </row>
    <row r="245" customFormat="false" ht="15" hidden="false" customHeight="false" outlineLevel="0" collapsed="false">
      <c r="A245" s="7"/>
      <c r="B245" s="10"/>
      <c r="C245" s="11"/>
      <c r="D245" s="8"/>
      <c r="E245" s="8"/>
      <c r="F245" s="8"/>
      <c r="G245" s="10"/>
      <c r="H245" s="10"/>
      <c r="I245" s="8"/>
      <c r="J245" s="11"/>
      <c r="K245" s="8"/>
      <c r="L245" s="8"/>
      <c r="M245" s="8"/>
      <c r="N245" s="11"/>
      <c r="O245" s="8"/>
      <c r="P245" s="12"/>
      <c r="Q245" s="8"/>
      <c r="R245" s="8"/>
      <c r="S245" s="9" t="str">
        <f aca="false">IF(E245="","",IF(AND(OR(D245="Restaurante",D245="Ingresso"),OR(K245="",K245="A decidir")),"Reserva a decidir; ","")&amp;IF(AND(D245="Ingresso",K245="Não"),"Ingresso não comprado; ","")&amp;IF(AND(K245="Sim",L245=""),"Reserva sem código; ","")&amp;IF(I245="Sim","Fechado no dia; ","")&amp;IF(AND(B245&lt;&gt;"",G245&lt;&gt;"",B245&lt;G245),"Antes de abrir; ","")&amp;IF(AND(B245&lt;&gt;"",H245&lt;&gt;"",B245+C245/1440&gt;H245),"Depois de fechar; ",""))</f>
        <v/>
      </c>
    </row>
    <row r="246" customFormat="false" ht="15" hidden="false" customHeight="false" outlineLevel="0" collapsed="false">
      <c r="A246" s="7"/>
      <c r="B246" s="10"/>
      <c r="C246" s="11"/>
      <c r="D246" s="8"/>
      <c r="E246" s="8"/>
      <c r="F246" s="8"/>
      <c r="G246" s="10"/>
      <c r="H246" s="10"/>
      <c r="I246" s="8"/>
      <c r="J246" s="11"/>
      <c r="K246" s="8"/>
      <c r="L246" s="8"/>
      <c r="M246" s="8"/>
      <c r="N246" s="11"/>
      <c r="O246" s="8"/>
      <c r="P246" s="12"/>
      <c r="Q246" s="8"/>
      <c r="R246" s="8"/>
      <c r="S246" s="9" t="str">
        <f aca="false">IF(E246="","",IF(AND(OR(D246="Restaurante",D246="Ingresso"),OR(K246="",K246="A decidir")),"Reserva a decidir; ","")&amp;IF(AND(D246="Ingresso",K246="Não"),"Ingresso não comprado; ","")&amp;IF(AND(K246="Sim",L246=""),"Reserva sem código; ","")&amp;IF(I246="Sim","Fechado no dia; ","")&amp;IF(AND(B246&lt;&gt;"",G246&lt;&gt;"",B246&lt;G246),"Antes de abrir; ","")&amp;IF(AND(B246&lt;&gt;"",H246&lt;&gt;"",B246+C246/1440&gt;H246),"Depois de fechar; ",""))</f>
        <v/>
      </c>
    </row>
    <row r="247" customFormat="false" ht="15" hidden="false" customHeight="false" outlineLevel="0" collapsed="false">
      <c r="A247" s="7"/>
      <c r="B247" s="10"/>
      <c r="C247" s="11"/>
      <c r="D247" s="8"/>
      <c r="E247" s="8"/>
      <c r="F247" s="8"/>
      <c r="G247" s="10"/>
      <c r="H247" s="10"/>
      <c r="I247" s="8"/>
      <c r="J247" s="11"/>
      <c r="K247" s="8"/>
      <c r="L247" s="8"/>
      <c r="M247" s="8"/>
      <c r="N247" s="11"/>
      <c r="O247" s="8"/>
      <c r="P247" s="12"/>
      <c r="Q247" s="8"/>
      <c r="R247" s="8"/>
      <c r="S247" s="9" t="str">
        <f aca="false">IF(E247="","",IF(AND(OR(D247="Restaurante",D247="Ingresso"),OR(K247="",K247="A decidir")),"Reserva a decidir; ","")&amp;IF(AND(D247="Ingresso",K247="Não"),"Ingresso não comprado; ","")&amp;IF(AND(K247="Sim",L247=""),"Reserva sem código; ","")&amp;IF(I247="Sim","Fechado no dia; ","")&amp;IF(AND(B247&lt;&gt;"",G247&lt;&gt;"",B247&lt;G247),"Antes de abrir; ","")&amp;IF(AND(B247&lt;&gt;"",H247&lt;&gt;"",B247+C247/1440&gt;H247),"Depois de fechar; ",""))</f>
        <v/>
      </c>
    </row>
    <row r="248" customFormat="false" ht="15" hidden="false" customHeight="false" outlineLevel="0" collapsed="false">
      <c r="A248" s="7"/>
      <c r="B248" s="10"/>
      <c r="C248" s="11"/>
      <c r="D248" s="8"/>
      <c r="E248" s="8"/>
      <c r="F248" s="8"/>
      <c r="G248" s="10"/>
      <c r="H248" s="10"/>
      <c r="I248" s="8"/>
      <c r="J248" s="11"/>
      <c r="K248" s="8"/>
      <c r="L248" s="8"/>
      <c r="M248" s="8"/>
      <c r="N248" s="11"/>
      <c r="O248" s="8"/>
      <c r="P248" s="12"/>
      <c r="Q248" s="8"/>
      <c r="R248" s="8"/>
      <c r="S248" s="9" t="str">
        <f aca="false">IF(E248="","",IF(AND(OR(D248="Restaurante",D248="Ingresso"),OR(K248="",K248="A decidir")),"Reserva a decidir; ","")&amp;IF(AND(D248="Ingresso",K248="Não"),"Ingresso não comprado; ","")&amp;IF(AND(K248="Sim",L248=""),"Reserva sem código; ","")&amp;IF(I248="Sim","Fechado no dia; ","")&amp;IF(AND(B248&lt;&gt;"",G248&lt;&gt;"",B248&lt;G248),"Antes de abrir; ","")&amp;IF(AND(B248&lt;&gt;"",H248&lt;&gt;"",B248+C248/1440&gt;H248),"Depois de fechar; ",""))</f>
        <v/>
      </c>
    </row>
    <row r="249" customFormat="false" ht="15" hidden="false" customHeight="false" outlineLevel="0" collapsed="false">
      <c r="A249" s="7"/>
      <c r="B249" s="10"/>
      <c r="C249" s="11"/>
      <c r="D249" s="8"/>
      <c r="E249" s="8"/>
      <c r="F249" s="8"/>
      <c r="G249" s="10"/>
      <c r="H249" s="10"/>
      <c r="I249" s="8"/>
      <c r="J249" s="11"/>
      <c r="K249" s="8"/>
      <c r="L249" s="8"/>
      <c r="M249" s="8"/>
      <c r="N249" s="11"/>
      <c r="O249" s="8"/>
      <c r="P249" s="12"/>
      <c r="Q249" s="8"/>
      <c r="R249" s="8"/>
      <c r="S249" s="9" t="str">
        <f aca="false">IF(E249="","",IF(AND(OR(D249="Restaurante",D249="Ingresso"),OR(K249="",K249="A decidir")),"Reserva a decidir; ","")&amp;IF(AND(D249="Ingresso",K249="Não"),"Ingresso não comprado; ","")&amp;IF(AND(K249="Sim",L249=""),"Reserva sem código; ","")&amp;IF(I249="Sim","Fechado no dia; ","")&amp;IF(AND(B249&lt;&gt;"",G249&lt;&gt;"",B249&lt;G249),"Antes de abrir; ","")&amp;IF(AND(B249&lt;&gt;"",H249&lt;&gt;"",B249+C249/1440&gt;H249),"Depois de fechar; ",""))</f>
        <v/>
      </c>
    </row>
    <row r="250" customFormat="false" ht="15" hidden="false" customHeight="false" outlineLevel="0" collapsed="false">
      <c r="A250" s="7"/>
      <c r="B250" s="10"/>
      <c r="C250" s="11"/>
      <c r="D250" s="8"/>
      <c r="E250" s="8"/>
      <c r="F250" s="8"/>
      <c r="G250" s="10"/>
      <c r="H250" s="10"/>
      <c r="I250" s="8"/>
      <c r="J250" s="11"/>
      <c r="K250" s="8"/>
      <c r="L250" s="8"/>
      <c r="M250" s="8"/>
      <c r="N250" s="11"/>
      <c r="O250" s="8"/>
      <c r="P250" s="12"/>
      <c r="Q250" s="8"/>
      <c r="R250" s="8"/>
      <c r="S250" s="9" t="str">
        <f aca="false">IF(E250="","",IF(AND(OR(D250="Restaurante",D250="Ingresso"),OR(K250="",K250="A decidir")),"Reserva a decidir; ","")&amp;IF(AND(D250="Ingresso",K250="Não"),"Ingresso não comprado; ","")&amp;IF(AND(K250="Sim",L250=""),"Reserva sem código; ","")&amp;IF(I250="Sim","Fechado no dia; ","")&amp;IF(AND(B250&lt;&gt;"",G250&lt;&gt;"",B250&lt;G250),"Antes de abrir; ","")&amp;IF(AND(B250&lt;&gt;"",H250&lt;&gt;"",B250+C250/1440&gt;H250),"Depois de fechar; ",""))</f>
        <v/>
      </c>
    </row>
    <row r="251" customFormat="false" ht="15" hidden="false" customHeight="false" outlineLevel="0" collapsed="false">
      <c r="A251" s="7"/>
      <c r="B251" s="10"/>
      <c r="C251" s="11"/>
      <c r="D251" s="8"/>
      <c r="E251" s="8"/>
      <c r="F251" s="8"/>
      <c r="G251" s="10"/>
      <c r="H251" s="10"/>
      <c r="I251" s="8"/>
      <c r="J251" s="11"/>
      <c r="K251" s="8"/>
      <c r="L251" s="8"/>
      <c r="M251" s="8"/>
      <c r="N251" s="11"/>
      <c r="O251" s="8"/>
      <c r="P251" s="12"/>
      <c r="Q251" s="8"/>
      <c r="R251" s="8"/>
      <c r="S251" s="9" t="str">
        <f aca="false">IF(E251="","",IF(AND(OR(D251="Restaurante",D251="Ingresso"),OR(K251="",K251="A decidir")),"Reserva a decidir; ","")&amp;IF(AND(D251="Ingresso",K251="Não"),"Ingresso não comprado; ","")&amp;IF(AND(K251="Sim",L251=""),"Reserva sem código; ","")&amp;IF(I251="Sim","Fechado no dia; ","")&amp;IF(AND(B251&lt;&gt;"",G251&lt;&gt;"",B251&lt;G251),"Antes de abrir; ","")&amp;IF(AND(B251&lt;&gt;"",H251&lt;&gt;"",B251+C251/1440&gt;H251),"Depois de fechar; ",""))</f>
        <v/>
      </c>
    </row>
    <row r="252" customFormat="false" ht="15" hidden="false" customHeight="false" outlineLevel="0" collapsed="false">
      <c r="A252" s="7"/>
      <c r="B252" s="10"/>
      <c r="C252" s="11"/>
      <c r="D252" s="8"/>
      <c r="E252" s="8"/>
      <c r="F252" s="8"/>
      <c r="G252" s="10"/>
      <c r="H252" s="10"/>
      <c r="I252" s="8"/>
      <c r="J252" s="11"/>
      <c r="K252" s="8"/>
      <c r="L252" s="8"/>
      <c r="M252" s="8"/>
      <c r="N252" s="11"/>
      <c r="O252" s="8"/>
      <c r="P252" s="12"/>
      <c r="Q252" s="8"/>
      <c r="R252" s="8"/>
      <c r="S252" s="9" t="str">
        <f aca="false">IF(E252="","",IF(AND(OR(D252="Restaurante",D252="Ingresso"),OR(K252="",K252="A decidir")),"Reserva a decidir; ","")&amp;IF(AND(D252="Ingresso",K252="Não"),"Ingresso não comprado; ","")&amp;IF(AND(K252="Sim",L252=""),"Reserva sem código; ","")&amp;IF(I252="Sim","Fechado no dia; ","")&amp;IF(AND(B252&lt;&gt;"",G252&lt;&gt;"",B252&lt;G252),"Antes de abrir; ","")&amp;IF(AND(B252&lt;&gt;"",H252&lt;&gt;"",B252+C252/1440&gt;H252),"Depois de fechar; ",""))</f>
        <v/>
      </c>
    </row>
    <row r="253" customFormat="false" ht="15" hidden="false" customHeight="false" outlineLevel="0" collapsed="false">
      <c r="A253" s="7"/>
      <c r="B253" s="10"/>
      <c r="C253" s="11"/>
      <c r="D253" s="8"/>
      <c r="E253" s="8"/>
      <c r="F253" s="8"/>
      <c r="G253" s="10"/>
      <c r="H253" s="10"/>
      <c r="I253" s="8"/>
      <c r="J253" s="11"/>
      <c r="K253" s="8"/>
      <c r="L253" s="8"/>
      <c r="M253" s="8"/>
      <c r="N253" s="11"/>
      <c r="O253" s="8"/>
      <c r="P253" s="12"/>
      <c r="Q253" s="8"/>
      <c r="R253" s="8"/>
      <c r="S253" s="9" t="str">
        <f aca="false">IF(E253="","",IF(AND(OR(D253="Restaurante",D253="Ingresso"),OR(K253="",K253="A decidir")),"Reserva a decidir; ","")&amp;IF(AND(D253="Ingresso",K253="Não"),"Ingresso não comprado; ","")&amp;IF(AND(K253="Sim",L253=""),"Reserva sem código; ","")&amp;IF(I253="Sim","Fechado no dia; ","")&amp;IF(AND(B253&lt;&gt;"",G253&lt;&gt;"",B253&lt;G253),"Antes de abrir; ","")&amp;IF(AND(B253&lt;&gt;"",H253&lt;&gt;"",B253+C253/1440&gt;H253),"Depois de fechar; ",""))</f>
        <v/>
      </c>
    </row>
    <row r="254" customFormat="false" ht="15" hidden="false" customHeight="false" outlineLevel="0" collapsed="false">
      <c r="A254" s="7"/>
      <c r="B254" s="10"/>
      <c r="C254" s="11"/>
      <c r="D254" s="8"/>
      <c r="E254" s="8"/>
      <c r="F254" s="8"/>
      <c r="G254" s="10"/>
      <c r="H254" s="10"/>
      <c r="I254" s="8"/>
      <c r="J254" s="11"/>
      <c r="K254" s="8"/>
      <c r="L254" s="8"/>
      <c r="M254" s="8"/>
      <c r="N254" s="11"/>
      <c r="O254" s="8"/>
      <c r="P254" s="12"/>
      <c r="Q254" s="8"/>
      <c r="R254" s="8"/>
      <c r="S254" s="9" t="str">
        <f aca="false">IF(E254="","",IF(AND(OR(D254="Restaurante",D254="Ingresso"),OR(K254="",K254="A decidir")),"Reserva a decidir; ","")&amp;IF(AND(D254="Ingresso",K254="Não"),"Ingresso não comprado; ","")&amp;IF(AND(K254="Sim",L254=""),"Reserva sem código; ","")&amp;IF(I254="Sim","Fechado no dia; ","")&amp;IF(AND(B254&lt;&gt;"",G254&lt;&gt;"",B254&lt;G254),"Antes de abrir; ","")&amp;IF(AND(B254&lt;&gt;"",H254&lt;&gt;"",B254+C254/1440&gt;H254),"Depois de fechar; ",""))</f>
        <v/>
      </c>
    </row>
    <row r="255" customFormat="false" ht="15" hidden="false" customHeight="false" outlineLevel="0" collapsed="false">
      <c r="A255" s="7"/>
      <c r="B255" s="10"/>
      <c r="C255" s="11"/>
      <c r="D255" s="8"/>
      <c r="E255" s="8"/>
      <c r="F255" s="8"/>
      <c r="G255" s="10"/>
      <c r="H255" s="10"/>
      <c r="I255" s="8"/>
      <c r="J255" s="11"/>
      <c r="K255" s="8"/>
      <c r="L255" s="8"/>
      <c r="M255" s="8"/>
      <c r="N255" s="11"/>
      <c r="O255" s="8"/>
      <c r="P255" s="12"/>
      <c r="Q255" s="8"/>
      <c r="R255" s="8"/>
      <c r="S255" s="9" t="str">
        <f aca="false">IF(E255="","",IF(AND(OR(D255="Restaurante",D255="Ingresso"),OR(K255="",K255="A decidir")),"Reserva a decidir; ","")&amp;IF(AND(D255="Ingresso",K255="Não"),"Ingresso não comprado; ","")&amp;IF(AND(K255="Sim",L255=""),"Reserva sem código; ","")&amp;IF(I255="Sim","Fechado no dia; ","")&amp;IF(AND(B255&lt;&gt;"",G255&lt;&gt;"",B255&lt;G255),"Antes de abrir; ","")&amp;IF(AND(B255&lt;&gt;"",H255&lt;&gt;"",B255+C255/1440&gt;H255),"Depois de fechar; ",""))</f>
        <v/>
      </c>
    </row>
    <row r="256" customFormat="false" ht="15" hidden="false" customHeight="false" outlineLevel="0" collapsed="false">
      <c r="A256" s="7"/>
      <c r="B256" s="10"/>
      <c r="C256" s="11"/>
      <c r="D256" s="8"/>
      <c r="E256" s="8"/>
      <c r="F256" s="8"/>
      <c r="G256" s="10"/>
      <c r="H256" s="10"/>
      <c r="I256" s="8"/>
      <c r="J256" s="11"/>
      <c r="K256" s="8"/>
      <c r="L256" s="8"/>
      <c r="M256" s="8"/>
      <c r="N256" s="11"/>
      <c r="O256" s="8"/>
      <c r="P256" s="12"/>
      <c r="Q256" s="8"/>
      <c r="R256" s="8"/>
      <c r="S256" s="9" t="str">
        <f aca="false">IF(E256="","",IF(AND(OR(D256="Restaurante",D256="Ingresso"),OR(K256="",K256="A decidir")),"Reserva a decidir; ","")&amp;IF(AND(D256="Ingresso",K256="Não"),"Ingresso não comprado; ","")&amp;IF(AND(K256="Sim",L256=""),"Reserva sem código; ","")&amp;IF(I256="Sim","Fechado no dia; ","")&amp;IF(AND(B256&lt;&gt;"",G256&lt;&gt;"",B256&lt;G256),"Antes de abrir; ","")&amp;IF(AND(B256&lt;&gt;"",H256&lt;&gt;"",B256+C256/1440&gt;H256),"Depois de fechar; ",""))</f>
        <v/>
      </c>
    </row>
    <row r="257" customFormat="false" ht="15" hidden="false" customHeight="false" outlineLevel="0" collapsed="false">
      <c r="A257" s="7"/>
      <c r="B257" s="10"/>
      <c r="C257" s="11"/>
      <c r="D257" s="8"/>
      <c r="E257" s="8"/>
      <c r="F257" s="8"/>
      <c r="G257" s="10"/>
      <c r="H257" s="10"/>
      <c r="I257" s="8"/>
      <c r="J257" s="11"/>
      <c r="K257" s="8"/>
      <c r="L257" s="8"/>
      <c r="M257" s="8"/>
      <c r="N257" s="11"/>
      <c r="O257" s="8"/>
      <c r="P257" s="12"/>
      <c r="Q257" s="8"/>
      <c r="R257" s="8"/>
      <c r="S257" s="9" t="str">
        <f aca="false">IF(E257="","",IF(AND(OR(D257="Restaurante",D257="Ingresso"),OR(K257="",K257="A decidir")),"Reserva a decidir; ","")&amp;IF(AND(D257="Ingresso",K257="Não"),"Ingresso não comprado; ","")&amp;IF(AND(K257="Sim",L257=""),"Reserva sem código; ","")&amp;IF(I257="Sim","Fechado no dia; ","")&amp;IF(AND(B257&lt;&gt;"",G257&lt;&gt;"",B257&lt;G257),"Antes de abrir; ","")&amp;IF(AND(B257&lt;&gt;"",H257&lt;&gt;"",B257+C257/1440&gt;H257),"Depois de fechar; ",""))</f>
        <v/>
      </c>
    </row>
    <row r="258" customFormat="false" ht="15" hidden="false" customHeight="false" outlineLevel="0" collapsed="false">
      <c r="A258" s="7"/>
      <c r="B258" s="10"/>
      <c r="C258" s="11"/>
      <c r="D258" s="8"/>
      <c r="E258" s="8"/>
      <c r="F258" s="8"/>
      <c r="G258" s="10"/>
      <c r="H258" s="10"/>
      <c r="I258" s="8"/>
      <c r="J258" s="11"/>
      <c r="K258" s="8"/>
      <c r="L258" s="8"/>
      <c r="M258" s="8"/>
      <c r="N258" s="11"/>
      <c r="O258" s="8"/>
      <c r="P258" s="12"/>
      <c r="Q258" s="8"/>
      <c r="R258" s="8"/>
      <c r="S258" s="9" t="str">
        <f aca="false">IF(E258="","",IF(AND(OR(D258="Restaurante",D258="Ingresso"),OR(K258="",K258="A decidir")),"Reserva a decidir; ","")&amp;IF(AND(D258="Ingresso",K258="Não"),"Ingresso não comprado; ","")&amp;IF(AND(K258="Sim",L258=""),"Reserva sem código; ","")&amp;IF(I258="Sim","Fechado no dia; ","")&amp;IF(AND(B258&lt;&gt;"",G258&lt;&gt;"",B258&lt;G258),"Antes de abrir; ","")&amp;IF(AND(B258&lt;&gt;"",H258&lt;&gt;"",B258+C258/1440&gt;H258),"Depois de fechar; ",""))</f>
        <v/>
      </c>
    </row>
    <row r="259" customFormat="false" ht="15" hidden="false" customHeight="false" outlineLevel="0" collapsed="false">
      <c r="A259" s="7"/>
      <c r="B259" s="10"/>
      <c r="C259" s="11"/>
      <c r="D259" s="8"/>
      <c r="E259" s="8"/>
      <c r="F259" s="8"/>
      <c r="G259" s="10"/>
      <c r="H259" s="10"/>
      <c r="I259" s="8"/>
      <c r="J259" s="11"/>
      <c r="K259" s="8"/>
      <c r="L259" s="8"/>
      <c r="M259" s="8"/>
      <c r="N259" s="11"/>
      <c r="O259" s="8"/>
      <c r="P259" s="12"/>
      <c r="Q259" s="8"/>
      <c r="R259" s="8"/>
      <c r="S259" s="9" t="str">
        <f aca="false">IF(E259="","",IF(AND(OR(D259="Restaurante",D259="Ingresso"),OR(K259="",K259="A decidir")),"Reserva a decidir; ","")&amp;IF(AND(D259="Ingresso",K259="Não"),"Ingresso não comprado; ","")&amp;IF(AND(K259="Sim",L259=""),"Reserva sem código; ","")&amp;IF(I259="Sim","Fechado no dia; ","")&amp;IF(AND(B259&lt;&gt;"",G259&lt;&gt;"",B259&lt;G259),"Antes de abrir; ","")&amp;IF(AND(B259&lt;&gt;"",H259&lt;&gt;"",B259+C259/1440&gt;H259),"Depois de fechar; ",""))</f>
        <v/>
      </c>
    </row>
    <row r="260" customFormat="false" ht="15" hidden="false" customHeight="false" outlineLevel="0" collapsed="false">
      <c r="A260" s="7"/>
      <c r="B260" s="10"/>
      <c r="C260" s="11"/>
      <c r="D260" s="8"/>
      <c r="E260" s="8"/>
      <c r="F260" s="8"/>
      <c r="G260" s="10"/>
      <c r="H260" s="10"/>
      <c r="I260" s="8"/>
      <c r="J260" s="11"/>
      <c r="K260" s="8"/>
      <c r="L260" s="8"/>
      <c r="M260" s="8"/>
      <c r="N260" s="11"/>
      <c r="O260" s="8"/>
      <c r="P260" s="12"/>
      <c r="Q260" s="8"/>
      <c r="R260" s="8"/>
      <c r="S260" s="9" t="str">
        <f aca="false">IF(E260="","",IF(AND(OR(D260="Restaurante",D260="Ingresso"),OR(K260="",K260="A decidir")),"Reserva a decidir; ","")&amp;IF(AND(D260="Ingresso",K260="Não"),"Ingresso não comprado; ","")&amp;IF(AND(K260="Sim",L260=""),"Reserva sem código; ","")&amp;IF(I260="Sim","Fechado no dia; ","")&amp;IF(AND(B260&lt;&gt;"",G260&lt;&gt;"",B260&lt;G260),"Antes de abrir; ","")&amp;IF(AND(B260&lt;&gt;"",H260&lt;&gt;"",B260+C260/1440&gt;H260),"Depois de fechar; ",""))</f>
        <v/>
      </c>
    </row>
    <row r="261" customFormat="false" ht="15" hidden="false" customHeight="false" outlineLevel="0" collapsed="false">
      <c r="A261" s="7"/>
      <c r="B261" s="10"/>
      <c r="C261" s="11"/>
      <c r="D261" s="8"/>
      <c r="E261" s="8"/>
      <c r="F261" s="8"/>
      <c r="G261" s="10"/>
      <c r="H261" s="10"/>
      <c r="I261" s="8"/>
      <c r="J261" s="11"/>
      <c r="K261" s="8"/>
      <c r="L261" s="8"/>
      <c r="M261" s="8"/>
      <c r="N261" s="11"/>
      <c r="O261" s="8"/>
      <c r="P261" s="12"/>
      <c r="Q261" s="8"/>
      <c r="R261" s="8"/>
      <c r="S261" s="9" t="str">
        <f aca="false">IF(E261="","",IF(AND(OR(D261="Restaurante",D261="Ingresso"),OR(K261="",K261="A decidir")),"Reserva a decidir; ","")&amp;IF(AND(D261="Ingresso",K261="Não"),"Ingresso não comprado; ","")&amp;IF(AND(K261="Sim",L261=""),"Reserva sem código; ","")&amp;IF(I261="Sim","Fechado no dia; ","")&amp;IF(AND(B261&lt;&gt;"",G261&lt;&gt;"",B261&lt;G261),"Antes de abrir; ","")&amp;IF(AND(B261&lt;&gt;"",H261&lt;&gt;"",B261+C261/1440&gt;H261),"Depois de fechar; ",""))</f>
        <v/>
      </c>
    </row>
    <row r="262" customFormat="false" ht="15" hidden="false" customHeight="false" outlineLevel="0" collapsed="false">
      <c r="A262" s="7"/>
      <c r="B262" s="10"/>
      <c r="C262" s="11"/>
      <c r="D262" s="8"/>
      <c r="E262" s="8"/>
      <c r="F262" s="8"/>
      <c r="G262" s="10"/>
      <c r="H262" s="10"/>
      <c r="I262" s="8"/>
      <c r="J262" s="11"/>
      <c r="K262" s="8"/>
      <c r="L262" s="8"/>
      <c r="M262" s="8"/>
      <c r="N262" s="11"/>
      <c r="O262" s="8"/>
      <c r="P262" s="12"/>
      <c r="Q262" s="8"/>
      <c r="R262" s="8"/>
      <c r="S262" s="9" t="str">
        <f aca="false">IF(E262="","",IF(AND(OR(D262="Restaurante",D262="Ingresso"),OR(K262="",K262="A decidir")),"Reserva a decidir; ","")&amp;IF(AND(D262="Ingresso",K262="Não"),"Ingresso não comprado; ","")&amp;IF(AND(K262="Sim",L262=""),"Reserva sem código; ","")&amp;IF(I262="Sim","Fechado no dia; ","")&amp;IF(AND(B262&lt;&gt;"",G262&lt;&gt;"",B262&lt;G262),"Antes de abrir; ","")&amp;IF(AND(B262&lt;&gt;"",H262&lt;&gt;"",B262+C262/1440&gt;H262),"Depois de fechar; ",""))</f>
        <v/>
      </c>
    </row>
    <row r="263" customFormat="false" ht="15" hidden="false" customHeight="false" outlineLevel="0" collapsed="false">
      <c r="A263" s="7"/>
      <c r="B263" s="10"/>
      <c r="C263" s="11"/>
      <c r="D263" s="8"/>
      <c r="E263" s="8"/>
      <c r="F263" s="8"/>
      <c r="G263" s="10"/>
      <c r="H263" s="10"/>
      <c r="I263" s="8"/>
      <c r="J263" s="11"/>
      <c r="K263" s="8"/>
      <c r="L263" s="8"/>
      <c r="M263" s="8"/>
      <c r="N263" s="11"/>
      <c r="O263" s="8"/>
      <c r="P263" s="12"/>
      <c r="Q263" s="8"/>
      <c r="R263" s="8"/>
      <c r="S263" s="9" t="str">
        <f aca="false">IF(E263="","",IF(AND(OR(D263="Restaurante",D263="Ingresso"),OR(K263="",K263="A decidir")),"Reserva a decidir; ","")&amp;IF(AND(D263="Ingresso",K263="Não"),"Ingresso não comprado; ","")&amp;IF(AND(K263="Sim",L263=""),"Reserva sem código; ","")&amp;IF(I263="Sim","Fechado no dia; ","")&amp;IF(AND(B263&lt;&gt;"",G263&lt;&gt;"",B263&lt;G263),"Antes de abrir; ","")&amp;IF(AND(B263&lt;&gt;"",H263&lt;&gt;"",B263+C263/1440&gt;H263),"Depois de fechar; ",""))</f>
        <v/>
      </c>
    </row>
    <row r="264" customFormat="false" ht="15" hidden="false" customHeight="false" outlineLevel="0" collapsed="false">
      <c r="A264" s="7"/>
      <c r="B264" s="10"/>
      <c r="C264" s="11"/>
      <c r="D264" s="8"/>
      <c r="E264" s="8"/>
      <c r="F264" s="8"/>
      <c r="G264" s="10"/>
      <c r="H264" s="10"/>
      <c r="I264" s="8"/>
      <c r="J264" s="11"/>
      <c r="K264" s="8"/>
      <c r="L264" s="8"/>
      <c r="M264" s="8"/>
      <c r="N264" s="11"/>
      <c r="O264" s="8"/>
      <c r="P264" s="12"/>
      <c r="Q264" s="8"/>
      <c r="R264" s="8"/>
      <c r="S264" s="9" t="str">
        <f aca="false">IF(E264="","",IF(AND(OR(D264="Restaurante",D264="Ingresso"),OR(K264="",K264="A decidir")),"Reserva a decidir; ","")&amp;IF(AND(D264="Ingresso",K264="Não"),"Ingresso não comprado; ","")&amp;IF(AND(K264="Sim",L264=""),"Reserva sem código; ","")&amp;IF(I264="Sim","Fechado no dia; ","")&amp;IF(AND(B264&lt;&gt;"",G264&lt;&gt;"",B264&lt;G264),"Antes de abrir; ","")&amp;IF(AND(B264&lt;&gt;"",H264&lt;&gt;"",B264+C264/1440&gt;H264),"Depois de fechar; ",""))</f>
        <v/>
      </c>
    </row>
    <row r="265" customFormat="false" ht="15" hidden="false" customHeight="false" outlineLevel="0" collapsed="false">
      <c r="A265" s="7"/>
      <c r="B265" s="10"/>
      <c r="C265" s="11"/>
      <c r="D265" s="8"/>
      <c r="E265" s="8"/>
      <c r="F265" s="8"/>
      <c r="G265" s="10"/>
      <c r="H265" s="10"/>
      <c r="I265" s="8"/>
      <c r="J265" s="11"/>
      <c r="K265" s="8"/>
      <c r="L265" s="8"/>
      <c r="M265" s="8"/>
      <c r="N265" s="11"/>
      <c r="O265" s="8"/>
      <c r="P265" s="12"/>
      <c r="Q265" s="8"/>
      <c r="R265" s="8"/>
      <c r="S265" s="9" t="str">
        <f aca="false">IF(E265="","",IF(AND(OR(D265="Restaurante",D265="Ingresso"),OR(K265="",K265="A decidir")),"Reserva a decidir; ","")&amp;IF(AND(D265="Ingresso",K265="Não"),"Ingresso não comprado; ","")&amp;IF(AND(K265="Sim",L265=""),"Reserva sem código; ","")&amp;IF(I265="Sim","Fechado no dia; ","")&amp;IF(AND(B265&lt;&gt;"",G265&lt;&gt;"",B265&lt;G265),"Antes de abrir; ","")&amp;IF(AND(B265&lt;&gt;"",H265&lt;&gt;"",B265+C265/1440&gt;H265),"Depois de fechar; ",""))</f>
        <v/>
      </c>
    </row>
    <row r="266" customFormat="false" ht="15" hidden="false" customHeight="false" outlineLevel="0" collapsed="false">
      <c r="A266" s="7"/>
      <c r="B266" s="10"/>
      <c r="C266" s="11"/>
      <c r="D266" s="8"/>
      <c r="E266" s="8"/>
      <c r="F266" s="8"/>
      <c r="G266" s="10"/>
      <c r="H266" s="10"/>
      <c r="I266" s="8"/>
      <c r="J266" s="11"/>
      <c r="K266" s="8"/>
      <c r="L266" s="8"/>
      <c r="M266" s="8"/>
      <c r="N266" s="11"/>
      <c r="O266" s="8"/>
      <c r="P266" s="12"/>
      <c r="Q266" s="8"/>
      <c r="R266" s="8"/>
      <c r="S266" s="9" t="str">
        <f aca="false">IF(E266="","",IF(AND(OR(D266="Restaurante",D266="Ingresso"),OR(K266="",K266="A decidir")),"Reserva a decidir; ","")&amp;IF(AND(D266="Ingresso",K266="Não"),"Ingresso não comprado; ","")&amp;IF(AND(K266="Sim",L266=""),"Reserva sem código; ","")&amp;IF(I266="Sim","Fechado no dia; ","")&amp;IF(AND(B266&lt;&gt;"",G266&lt;&gt;"",B266&lt;G266),"Antes de abrir; ","")&amp;IF(AND(B266&lt;&gt;"",H266&lt;&gt;"",B266+C266/1440&gt;H266),"Depois de fechar; ",""))</f>
        <v/>
      </c>
    </row>
    <row r="267" customFormat="false" ht="15" hidden="false" customHeight="false" outlineLevel="0" collapsed="false">
      <c r="A267" s="7"/>
      <c r="B267" s="10"/>
      <c r="C267" s="11"/>
      <c r="D267" s="8"/>
      <c r="E267" s="8"/>
      <c r="F267" s="8"/>
      <c r="G267" s="10"/>
      <c r="H267" s="10"/>
      <c r="I267" s="8"/>
      <c r="J267" s="11"/>
      <c r="K267" s="8"/>
      <c r="L267" s="8"/>
      <c r="M267" s="8"/>
      <c r="N267" s="11"/>
      <c r="O267" s="8"/>
      <c r="P267" s="12"/>
      <c r="Q267" s="8"/>
      <c r="R267" s="8"/>
      <c r="S267" s="9" t="str">
        <f aca="false">IF(E267="","",IF(AND(OR(D267="Restaurante",D267="Ingresso"),OR(K267="",K267="A decidir")),"Reserva a decidir; ","")&amp;IF(AND(D267="Ingresso",K267="Não"),"Ingresso não comprado; ","")&amp;IF(AND(K267="Sim",L267=""),"Reserva sem código; ","")&amp;IF(I267="Sim","Fechado no dia; ","")&amp;IF(AND(B267&lt;&gt;"",G267&lt;&gt;"",B267&lt;G267),"Antes de abrir; ","")&amp;IF(AND(B267&lt;&gt;"",H267&lt;&gt;"",B267+C267/1440&gt;H267),"Depois de fechar; ",""))</f>
        <v/>
      </c>
    </row>
    <row r="268" customFormat="false" ht="15" hidden="false" customHeight="false" outlineLevel="0" collapsed="false">
      <c r="A268" s="7"/>
      <c r="B268" s="10"/>
      <c r="C268" s="11"/>
      <c r="D268" s="8"/>
      <c r="E268" s="8"/>
      <c r="F268" s="8"/>
      <c r="G268" s="10"/>
      <c r="H268" s="10"/>
      <c r="I268" s="8"/>
      <c r="J268" s="11"/>
      <c r="K268" s="8"/>
      <c r="L268" s="8"/>
      <c r="M268" s="8"/>
      <c r="N268" s="11"/>
      <c r="O268" s="8"/>
      <c r="P268" s="12"/>
      <c r="Q268" s="8"/>
      <c r="R268" s="8"/>
      <c r="S268" s="9" t="str">
        <f aca="false">IF(E268="","",IF(AND(OR(D268="Restaurante",D268="Ingresso"),OR(K268="",K268="A decidir")),"Reserva a decidir; ","")&amp;IF(AND(D268="Ingresso",K268="Não"),"Ingresso não comprado; ","")&amp;IF(AND(K268="Sim",L268=""),"Reserva sem código; ","")&amp;IF(I268="Sim","Fechado no dia; ","")&amp;IF(AND(B268&lt;&gt;"",G268&lt;&gt;"",B268&lt;G268),"Antes de abrir; ","")&amp;IF(AND(B268&lt;&gt;"",H268&lt;&gt;"",B268+C268/1440&gt;H268),"Depois de fechar; ",""))</f>
        <v/>
      </c>
    </row>
    <row r="269" customFormat="false" ht="15" hidden="false" customHeight="false" outlineLevel="0" collapsed="false">
      <c r="A269" s="7"/>
      <c r="B269" s="10"/>
      <c r="C269" s="11"/>
      <c r="D269" s="8"/>
      <c r="E269" s="8"/>
      <c r="F269" s="8"/>
      <c r="G269" s="10"/>
      <c r="H269" s="10"/>
      <c r="I269" s="8"/>
      <c r="J269" s="11"/>
      <c r="K269" s="8"/>
      <c r="L269" s="8"/>
      <c r="M269" s="8"/>
      <c r="N269" s="11"/>
      <c r="O269" s="8"/>
      <c r="P269" s="12"/>
      <c r="Q269" s="8"/>
      <c r="R269" s="8"/>
      <c r="S269" s="9" t="str">
        <f aca="false">IF(E269="","",IF(AND(OR(D269="Restaurante",D269="Ingresso"),OR(K269="",K269="A decidir")),"Reserva a decidir; ","")&amp;IF(AND(D269="Ingresso",K269="Não"),"Ingresso não comprado; ","")&amp;IF(AND(K269="Sim",L269=""),"Reserva sem código; ","")&amp;IF(I269="Sim","Fechado no dia; ","")&amp;IF(AND(B269&lt;&gt;"",G269&lt;&gt;"",B269&lt;G269),"Antes de abrir; ","")&amp;IF(AND(B269&lt;&gt;"",H269&lt;&gt;"",B269+C269/1440&gt;H269),"Depois de fechar; ",""))</f>
        <v/>
      </c>
    </row>
    <row r="270" customFormat="false" ht="15" hidden="false" customHeight="false" outlineLevel="0" collapsed="false">
      <c r="A270" s="7"/>
      <c r="B270" s="10"/>
      <c r="C270" s="11"/>
      <c r="D270" s="8"/>
      <c r="E270" s="8"/>
      <c r="F270" s="8"/>
      <c r="G270" s="10"/>
      <c r="H270" s="10"/>
      <c r="I270" s="8"/>
      <c r="J270" s="11"/>
      <c r="K270" s="8"/>
      <c r="L270" s="8"/>
      <c r="M270" s="8"/>
      <c r="N270" s="11"/>
      <c r="O270" s="8"/>
      <c r="P270" s="12"/>
      <c r="Q270" s="8"/>
      <c r="R270" s="8"/>
      <c r="S270" s="9" t="str">
        <f aca="false">IF(E270="","",IF(AND(OR(D270="Restaurante",D270="Ingresso"),OR(K270="",K270="A decidir")),"Reserva a decidir; ","")&amp;IF(AND(D270="Ingresso",K270="Não"),"Ingresso não comprado; ","")&amp;IF(AND(K270="Sim",L270=""),"Reserva sem código; ","")&amp;IF(I270="Sim","Fechado no dia; ","")&amp;IF(AND(B270&lt;&gt;"",G270&lt;&gt;"",B270&lt;G270),"Antes de abrir; ","")&amp;IF(AND(B270&lt;&gt;"",H270&lt;&gt;"",B270+C270/1440&gt;H270),"Depois de fechar; ",""))</f>
        <v/>
      </c>
    </row>
    <row r="271" customFormat="false" ht="15" hidden="false" customHeight="false" outlineLevel="0" collapsed="false">
      <c r="A271" s="7"/>
      <c r="B271" s="10"/>
      <c r="C271" s="11"/>
      <c r="D271" s="8"/>
      <c r="E271" s="8"/>
      <c r="F271" s="8"/>
      <c r="G271" s="10"/>
      <c r="H271" s="10"/>
      <c r="I271" s="8"/>
      <c r="J271" s="11"/>
      <c r="K271" s="8"/>
      <c r="L271" s="8"/>
      <c r="M271" s="8"/>
      <c r="N271" s="11"/>
      <c r="O271" s="8"/>
      <c r="P271" s="12"/>
      <c r="Q271" s="8"/>
      <c r="R271" s="8"/>
      <c r="S271" s="9" t="str">
        <f aca="false">IF(E271="","",IF(AND(OR(D271="Restaurante",D271="Ingresso"),OR(K271="",K271="A decidir")),"Reserva a decidir; ","")&amp;IF(AND(D271="Ingresso",K271="Não"),"Ingresso não comprado; ","")&amp;IF(AND(K271="Sim",L271=""),"Reserva sem código; ","")&amp;IF(I271="Sim","Fechado no dia; ","")&amp;IF(AND(B271&lt;&gt;"",G271&lt;&gt;"",B271&lt;G271),"Antes de abrir; ","")&amp;IF(AND(B271&lt;&gt;"",H271&lt;&gt;"",B271+C271/1440&gt;H271),"Depois de fechar; ",""))</f>
        <v/>
      </c>
    </row>
    <row r="272" customFormat="false" ht="15" hidden="false" customHeight="false" outlineLevel="0" collapsed="false">
      <c r="A272" s="7"/>
      <c r="B272" s="10"/>
      <c r="C272" s="11"/>
      <c r="D272" s="8"/>
      <c r="E272" s="8"/>
      <c r="F272" s="8"/>
      <c r="G272" s="10"/>
      <c r="H272" s="10"/>
      <c r="I272" s="8"/>
      <c r="J272" s="11"/>
      <c r="K272" s="8"/>
      <c r="L272" s="8"/>
      <c r="M272" s="8"/>
      <c r="N272" s="11"/>
      <c r="O272" s="8"/>
      <c r="P272" s="12"/>
      <c r="Q272" s="8"/>
      <c r="R272" s="8"/>
      <c r="S272" s="9" t="str">
        <f aca="false">IF(E272="","",IF(AND(OR(D272="Restaurante",D272="Ingresso"),OR(K272="",K272="A decidir")),"Reserva a decidir; ","")&amp;IF(AND(D272="Ingresso",K272="Não"),"Ingresso não comprado; ","")&amp;IF(AND(K272="Sim",L272=""),"Reserva sem código; ","")&amp;IF(I272="Sim","Fechado no dia; ","")&amp;IF(AND(B272&lt;&gt;"",G272&lt;&gt;"",B272&lt;G272),"Antes de abrir; ","")&amp;IF(AND(B272&lt;&gt;"",H272&lt;&gt;"",B272+C272/1440&gt;H272),"Depois de fechar; ",""))</f>
        <v/>
      </c>
    </row>
    <row r="273" customFormat="false" ht="15" hidden="false" customHeight="false" outlineLevel="0" collapsed="false">
      <c r="A273" s="7"/>
      <c r="B273" s="10"/>
      <c r="C273" s="11"/>
      <c r="D273" s="8"/>
      <c r="E273" s="8"/>
      <c r="F273" s="8"/>
      <c r="G273" s="10"/>
      <c r="H273" s="10"/>
      <c r="I273" s="8"/>
      <c r="J273" s="11"/>
      <c r="K273" s="8"/>
      <c r="L273" s="8"/>
      <c r="M273" s="8"/>
      <c r="N273" s="11"/>
      <c r="O273" s="8"/>
      <c r="P273" s="12"/>
      <c r="Q273" s="8"/>
      <c r="R273" s="8"/>
      <c r="S273" s="9" t="str">
        <f aca="false">IF(E273="","",IF(AND(OR(D273="Restaurante",D273="Ingresso"),OR(K273="",K273="A decidir")),"Reserva a decidir; ","")&amp;IF(AND(D273="Ingresso",K273="Não"),"Ingresso não comprado; ","")&amp;IF(AND(K273="Sim",L273=""),"Reserva sem código; ","")&amp;IF(I273="Sim","Fechado no dia; ","")&amp;IF(AND(B273&lt;&gt;"",G273&lt;&gt;"",B273&lt;G273),"Antes de abrir; ","")&amp;IF(AND(B273&lt;&gt;"",H273&lt;&gt;"",B273+C273/1440&gt;H273),"Depois de fechar; ",""))</f>
        <v/>
      </c>
    </row>
    <row r="274" customFormat="false" ht="15" hidden="false" customHeight="false" outlineLevel="0" collapsed="false">
      <c r="A274" s="7"/>
      <c r="B274" s="10"/>
      <c r="C274" s="11"/>
      <c r="D274" s="8"/>
      <c r="E274" s="8"/>
      <c r="F274" s="8"/>
      <c r="G274" s="10"/>
      <c r="H274" s="10"/>
      <c r="I274" s="8"/>
      <c r="J274" s="11"/>
      <c r="K274" s="8"/>
      <c r="L274" s="8"/>
      <c r="M274" s="8"/>
      <c r="N274" s="11"/>
      <c r="O274" s="8"/>
      <c r="P274" s="12"/>
      <c r="Q274" s="8"/>
      <c r="R274" s="8"/>
      <c r="S274" s="9" t="str">
        <f aca="false">IF(E274="","",IF(AND(OR(D274="Restaurante",D274="Ingresso"),OR(K274="",K274="A decidir")),"Reserva a decidir; ","")&amp;IF(AND(D274="Ingresso",K274="Não"),"Ingresso não comprado; ","")&amp;IF(AND(K274="Sim",L274=""),"Reserva sem código; ","")&amp;IF(I274="Sim","Fechado no dia; ","")&amp;IF(AND(B274&lt;&gt;"",G274&lt;&gt;"",B274&lt;G274),"Antes de abrir; ","")&amp;IF(AND(B274&lt;&gt;"",H274&lt;&gt;"",B274+C274/1440&gt;H274),"Depois de fechar; ",""))</f>
        <v/>
      </c>
    </row>
    <row r="275" customFormat="false" ht="15" hidden="false" customHeight="false" outlineLevel="0" collapsed="false">
      <c r="A275" s="7"/>
      <c r="B275" s="10"/>
      <c r="C275" s="11"/>
      <c r="D275" s="8"/>
      <c r="E275" s="8"/>
      <c r="F275" s="8"/>
      <c r="G275" s="10"/>
      <c r="H275" s="10"/>
      <c r="I275" s="8"/>
      <c r="J275" s="11"/>
      <c r="K275" s="8"/>
      <c r="L275" s="8"/>
      <c r="M275" s="8"/>
      <c r="N275" s="11"/>
      <c r="O275" s="8"/>
      <c r="P275" s="12"/>
      <c r="Q275" s="8"/>
      <c r="R275" s="8"/>
      <c r="S275" s="9" t="str">
        <f aca="false">IF(E275="","",IF(AND(OR(D275="Restaurante",D275="Ingresso"),OR(K275="",K275="A decidir")),"Reserva a decidir; ","")&amp;IF(AND(D275="Ingresso",K275="Não"),"Ingresso não comprado; ","")&amp;IF(AND(K275="Sim",L275=""),"Reserva sem código; ","")&amp;IF(I275="Sim","Fechado no dia; ","")&amp;IF(AND(B275&lt;&gt;"",G275&lt;&gt;"",B275&lt;G275),"Antes de abrir; ","")&amp;IF(AND(B275&lt;&gt;"",H275&lt;&gt;"",B275+C275/1440&gt;H275),"Depois de fechar; ",""))</f>
        <v/>
      </c>
    </row>
    <row r="276" customFormat="false" ht="15" hidden="false" customHeight="false" outlineLevel="0" collapsed="false">
      <c r="A276" s="7"/>
      <c r="B276" s="10"/>
      <c r="C276" s="11"/>
      <c r="D276" s="8"/>
      <c r="E276" s="8"/>
      <c r="F276" s="8"/>
      <c r="G276" s="10"/>
      <c r="H276" s="10"/>
      <c r="I276" s="8"/>
      <c r="J276" s="11"/>
      <c r="K276" s="8"/>
      <c r="L276" s="8"/>
      <c r="M276" s="8"/>
      <c r="N276" s="11"/>
      <c r="O276" s="8"/>
      <c r="P276" s="12"/>
      <c r="Q276" s="8"/>
      <c r="R276" s="8"/>
      <c r="S276" s="9" t="str">
        <f aca="false">IF(E276="","",IF(AND(OR(D276="Restaurante",D276="Ingresso"),OR(K276="",K276="A decidir")),"Reserva a decidir; ","")&amp;IF(AND(D276="Ingresso",K276="Não"),"Ingresso não comprado; ","")&amp;IF(AND(K276="Sim",L276=""),"Reserva sem código; ","")&amp;IF(I276="Sim","Fechado no dia; ","")&amp;IF(AND(B276&lt;&gt;"",G276&lt;&gt;"",B276&lt;G276),"Antes de abrir; ","")&amp;IF(AND(B276&lt;&gt;"",H276&lt;&gt;"",B276+C276/1440&gt;H276),"Depois de fechar; ",""))</f>
        <v/>
      </c>
    </row>
    <row r="277" customFormat="false" ht="15" hidden="false" customHeight="false" outlineLevel="0" collapsed="false">
      <c r="A277" s="7"/>
      <c r="B277" s="10"/>
      <c r="C277" s="11"/>
      <c r="D277" s="8"/>
      <c r="E277" s="8"/>
      <c r="F277" s="8"/>
      <c r="G277" s="10"/>
      <c r="H277" s="10"/>
      <c r="I277" s="8"/>
      <c r="J277" s="11"/>
      <c r="K277" s="8"/>
      <c r="L277" s="8"/>
      <c r="M277" s="8"/>
      <c r="N277" s="11"/>
      <c r="O277" s="8"/>
      <c r="P277" s="12"/>
      <c r="Q277" s="8"/>
      <c r="R277" s="8"/>
      <c r="S277" s="9" t="str">
        <f aca="false">IF(E277="","",IF(AND(OR(D277="Restaurante",D277="Ingresso"),OR(K277="",K277="A decidir")),"Reserva a decidir; ","")&amp;IF(AND(D277="Ingresso",K277="Não"),"Ingresso não comprado; ","")&amp;IF(AND(K277="Sim",L277=""),"Reserva sem código; ","")&amp;IF(I277="Sim","Fechado no dia; ","")&amp;IF(AND(B277&lt;&gt;"",G277&lt;&gt;"",B277&lt;G277),"Antes de abrir; ","")&amp;IF(AND(B277&lt;&gt;"",H277&lt;&gt;"",B277+C277/1440&gt;H277),"Depois de fechar; ",""))</f>
        <v/>
      </c>
    </row>
    <row r="278" customFormat="false" ht="15" hidden="false" customHeight="false" outlineLevel="0" collapsed="false">
      <c r="A278" s="7"/>
      <c r="B278" s="10"/>
      <c r="C278" s="11"/>
      <c r="D278" s="8"/>
      <c r="E278" s="8"/>
      <c r="F278" s="8"/>
      <c r="G278" s="10"/>
      <c r="H278" s="10"/>
      <c r="I278" s="8"/>
      <c r="J278" s="11"/>
      <c r="K278" s="8"/>
      <c r="L278" s="8"/>
      <c r="M278" s="8"/>
      <c r="N278" s="11"/>
      <c r="O278" s="8"/>
      <c r="P278" s="12"/>
      <c r="Q278" s="8"/>
      <c r="R278" s="8"/>
      <c r="S278" s="9" t="str">
        <f aca="false">IF(E278="","",IF(AND(OR(D278="Restaurante",D278="Ingresso"),OR(K278="",K278="A decidir")),"Reserva a decidir; ","")&amp;IF(AND(D278="Ingresso",K278="Não"),"Ingresso não comprado; ","")&amp;IF(AND(K278="Sim",L278=""),"Reserva sem código; ","")&amp;IF(I278="Sim","Fechado no dia; ","")&amp;IF(AND(B278&lt;&gt;"",G278&lt;&gt;"",B278&lt;G278),"Antes de abrir; ","")&amp;IF(AND(B278&lt;&gt;"",H278&lt;&gt;"",B278+C278/1440&gt;H278),"Depois de fechar; ",""))</f>
        <v/>
      </c>
    </row>
    <row r="279" customFormat="false" ht="15" hidden="false" customHeight="false" outlineLevel="0" collapsed="false">
      <c r="A279" s="7"/>
      <c r="B279" s="10"/>
      <c r="C279" s="11"/>
      <c r="D279" s="8"/>
      <c r="E279" s="8"/>
      <c r="F279" s="8"/>
      <c r="G279" s="10"/>
      <c r="H279" s="10"/>
      <c r="I279" s="8"/>
      <c r="J279" s="11"/>
      <c r="K279" s="8"/>
      <c r="L279" s="8"/>
      <c r="M279" s="8"/>
      <c r="N279" s="11"/>
      <c r="O279" s="8"/>
      <c r="P279" s="12"/>
      <c r="Q279" s="8"/>
      <c r="R279" s="8"/>
      <c r="S279" s="9" t="str">
        <f aca="false">IF(E279="","",IF(AND(OR(D279="Restaurante",D279="Ingresso"),OR(K279="",K279="A decidir")),"Reserva a decidir; ","")&amp;IF(AND(D279="Ingresso",K279="Não"),"Ingresso não comprado; ","")&amp;IF(AND(K279="Sim",L279=""),"Reserva sem código; ","")&amp;IF(I279="Sim","Fechado no dia; ","")&amp;IF(AND(B279&lt;&gt;"",G279&lt;&gt;"",B279&lt;G279),"Antes de abrir; ","")&amp;IF(AND(B279&lt;&gt;"",H279&lt;&gt;"",B279+C279/1440&gt;H279),"Depois de fechar; ",""))</f>
        <v/>
      </c>
    </row>
    <row r="280" customFormat="false" ht="15" hidden="false" customHeight="false" outlineLevel="0" collapsed="false">
      <c r="A280" s="7"/>
      <c r="B280" s="10"/>
      <c r="C280" s="11"/>
      <c r="D280" s="8"/>
      <c r="E280" s="8"/>
      <c r="F280" s="8"/>
      <c r="G280" s="10"/>
      <c r="H280" s="10"/>
      <c r="I280" s="8"/>
      <c r="J280" s="11"/>
      <c r="K280" s="8"/>
      <c r="L280" s="8"/>
      <c r="M280" s="8"/>
      <c r="N280" s="11"/>
      <c r="O280" s="8"/>
      <c r="P280" s="12"/>
      <c r="Q280" s="8"/>
      <c r="R280" s="8"/>
      <c r="S280" s="9" t="str">
        <f aca="false">IF(E280="","",IF(AND(OR(D280="Restaurante",D280="Ingresso"),OR(K280="",K280="A decidir")),"Reserva a decidir; ","")&amp;IF(AND(D280="Ingresso",K280="Não"),"Ingresso não comprado; ","")&amp;IF(AND(K280="Sim",L280=""),"Reserva sem código; ","")&amp;IF(I280="Sim","Fechado no dia; ","")&amp;IF(AND(B280&lt;&gt;"",G280&lt;&gt;"",B280&lt;G280),"Antes de abrir; ","")&amp;IF(AND(B280&lt;&gt;"",H280&lt;&gt;"",B280+C280/1440&gt;H280),"Depois de fechar; ",""))</f>
        <v/>
      </c>
    </row>
    <row r="281" customFormat="false" ht="15" hidden="false" customHeight="false" outlineLevel="0" collapsed="false">
      <c r="A281" s="7"/>
      <c r="B281" s="10"/>
      <c r="C281" s="11"/>
      <c r="D281" s="8"/>
      <c r="E281" s="8"/>
      <c r="F281" s="8"/>
      <c r="G281" s="10"/>
      <c r="H281" s="10"/>
      <c r="I281" s="8"/>
      <c r="J281" s="11"/>
      <c r="K281" s="8"/>
      <c r="L281" s="8"/>
      <c r="M281" s="8"/>
      <c r="N281" s="11"/>
      <c r="O281" s="8"/>
      <c r="P281" s="12"/>
      <c r="Q281" s="8"/>
      <c r="R281" s="8"/>
      <c r="S281" s="9" t="str">
        <f aca="false">IF(E281="","",IF(AND(OR(D281="Restaurante",D281="Ingresso"),OR(K281="",K281="A decidir")),"Reserva a decidir; ","")&amp;IF(AND(D281="Ingresso",K281="Não"),"Ingresso não comprado; ","")&amp;IF(AND(K281="Sim",L281=""),"Reserva sem código; ","")&amp;IF(I281="Sim","Fechado no dia; ","")&amp;IF(AND(B281&lt;&gt;"",G281&lt;&gt;"",B281&lt;G281),"Antes de abrir; ","")&amp;IF(AND(B281&lt;&gt;"",H281&lt;&gt;"",B281+C281/1440&gt;H281),"Depois de fechar; ",""))</f>
        <v/>
      </c>
    </row>
    <row r="282" customFormat="false" ht="15" hidden="false" customHeight="false" outlineLevel="0" collapsed="false">
      <c r="A282" s="7"/>
      <c r="B282" s="10"/>
      <c r="C282" s="11"/>
      <c r="D282" s="8"/>
      <c r="E282" s="8"/>
      <c r="F282" s="8"/>
      <c r="G282" s="10"/>
      <c r="H282" s="10"/>
      <c r="I282" s="8"/>
      <c r="J282" s="11"/>
      <c r="K282" s="8"/>
      <c r="L282" s="8"/>
      <c r="M282" s="8"/>
      <c r="N282" s="11"/>
      <c r="O282" s="8"/>
      <c r="P282" s="12"/>
      <c r="Q282" s="8"/>
      <c r="R282" s="8"/>
      <c r="S282" s="9" t="str">
        <f aca="false">IF(E282="","",IF(AND(OR(D282="Restaurante",D282="Ingresso"),OR(K282="",K282="A decidir")),"Reserva a decidir; ","")&amp;IF(AND(D282="Ingresso",K282="Não"),"Ingresso não comprado; ","")&amp;IF(AND(K282="Sim",L282=""),"Reserva sem código; ","")&amp;IF(I282="Sim","Fechado no dia; ","")&amp;IF(AND(B282&lt;&gt;"",G282&lt;&gt;"",B282&lt;G282),"Antes de abrir; ","")&amp;IF(AND(B282&lt;&gt;"",H282&lt;&gt;"",B282+C282/1440&gt;H282),"Depois de fechar; ",""))</f>
        <v/>
      </c>
    </row>
    <row r="283" customFormat="false" ht="15" hidden="false" customHeight="false" outlineLevel="0" collapsed="false">
      <c r="A283" s="7"/>
      <c r="B283" s="10"/>
      <c r="C283" s="11"/>
      <c r="D283" s="8"/>
      <c r="E283" s="8"/>
      <c r="F283" s="8"/>
      <c r="G283" s="10"/>
      <c r="H283" s="10"/>
      <c r="I283" s="8"/>
      <c r="J283" s="11"/>
      <c r="K283" s="8"/>
      <c r="L283" s="8"/>
      <c r="M283" s="8"/>
      <c r="N283" s="11"/>
      <c r="O283" s="8"/>
      <c r="P283" s="12"/>
      <c r="Q283" s="8"/>
      <c r="R283" s="8"/>
      <c r="S283" s="9" t="str">
        <f aca="false">IF(E283="","",IF(AND(OR(D283="Restaurante",D283="Ingresso"),OR(K283="",K283="A decidir")),"Reserva a decidir; ","")&amp;IF(AND(D283="Ingresso",K283="Não"),"Ingresso não comprado; ","")&amp;IF(AND(K283="Sim",L283=""),"Reserva sem código; ","")&amp;IF(I283="Sim","Fechado no dia; ","")&amp;IF(AND(B283&lt;&gt;"",G283&lt;&gt;"",B283&lt;G283),"Antes de abrir; ","")&amp;IF(AND(B283&lt;&gt;"",H283&lt;&gt;"",B283+C283/1440&gt;H283),"Depois de fechar; ",""))</f>
        <v/>
      </c>
    </row>
    <row r="284" customFormat="false" ht="15" hidden="false" customHeight="false" outlineLevel="0" collapsed="false">
      <c r="A284" s="7"/>
      <c r="B284" s="10"/>
      <c r="C284" s="11"/>
      <c r="D284" s="8"/>
      <c r="E284" s="8"/>
      <c r="F284" s="8"/>
      <c r="G284" s="10"/>
      <c r="H284" s="10"/>
      <c r="I284" s="8"/>
      <c r="J284" s="11"/>
      <c r="K284" s="8"/>
      <c r="L284" s="8"/>
      <c r="M284" s="8"/>
      <c r="N284" s="11"/>
      <c r="O284" s="8"/>
      <c r="P284" s="12"/>
      <c r="Q284" s="8"/>
      <c r="R284" s="8"/>
      <c r="S284" s="9" t="str">
        <f aca="false">IF(E284="","",IF(AND(OR(D284="Restaurante",D284="Ingresso"),OR(K284="",K284="A decidir")),"Reserva a decidir; ","")&amp;IF(AND(D284="Ingresso",K284="Não"),"Ingresso não comprado; ","")&amp;IF(AND(K284="Sim",L284=""),"Reserva sem código; ","")&amp;IF(I284="Sim","Fechado no dia; ","")&amp;IF(AND(B284&lt;&gt;"",G284&lt;&gt;"",B284&lt;G284),"Antes de abrir; ","")&amp;IF(AND(B284&lt;&gt;"",H284&lt;&gt;"",B284+C284/1440&gt;H284),"Depois de fechar; ",""))</f>
        <v/>
      </c>
    </row>
    <row r="285" customFormat="false" ht="15" hidden="false" customHeight="false" outlineLevel="0" collapsed="false">
      <c r="A285" s="7"/>
      <c r="B285" s="10"/>
      <c r="C285" s="11"/>
      <c r="D285" s="8"/>
      <c r="E285" s="8"/>
      <c r="F285" s="8"/>
      <c r="G285" s="10"/>
      <c r="H285" s="10"/>
      <c r="I285" s="8"/>
      <c r="J285" s="11"/>
      <c r="K285" s="8"/>
      <c r="L285" s="8"/>
      <c r="M285" s="8"/>
      <c r="N285" s="11"/>
      <c r="O285" s="8"/>
      <c r="P285" s="12"/>
      <c r="Q285" s="8"/>
      <c r="R285" s="8"/>
      <c r="S285" s="9" t="str">
        <f aca="false">IF(E285="","",IF(AND(OR(D285="Restaurante",D285="Ingresso"),OR(K285="",K285="A decidir")),"Reserva a decidir; ","")&amp;IF(AND(D285="Ingresso",K285="Não"),"Ingresso não comprado; ","")&amp;IF(AND(K285="Sim",L285=""),"Reserva sem código; ","")&amp;IF(I285="Sim","Fechado no dia; ","")&amp;IF(AND(B285&lt;&gt;"",G285&lt;&gt;"",B285&lt;G285),"Antes de abrir; ","")&amp;IF(AND(B285&lt;&gt;"",H285&lt;&gt;"",B285+C285/1440&gt;H285),"Depois de fechar; ",""))</f>
        <v/>
      </c>
    </row>
    <row r="286" customFormat="false" ht="15" hidden="false" customHeight="false" outlineLevel="0" collapsed="false">
      <c r="A286" s="7"/>
      <c r="B286" s="10"/>
      <c r="C286" s="11"/>
      <c r="D286" s="8"/>
      <c r="E286" s="8"/>
      <c r="F286" s="8"/>
      <c r="G286" s="10"/>
      <c r="H286" s="10"/>
      <c r="I286" s="8"/>
      <c r="J286" s="11"/>
      <c r="K286" s="8"/>
      <c r="L286" s="8"/>
      <c r="M286" s="8"/>
      <c r="N286" s="11"/>
      <c r="O286" s="8"/>
      <c r="P286" s="12"/>
      <c r="Q286" s="8"/>
      <c r="R286" s="8"/>
      <c r="S286" s="9" t="str">
        <f aca="false">IF(E286="","",IF(AND(OR(D286="Restaurante",D286="Ingresso"),OR(K286="",K286="A decidir")),"Reserva a decidir; ","")&amp;IF(AND(D286="Ingresso",K286="Não"),"Ingresso não comprado; ","")&amp;IF(AND(K286="Sim",L286=""),"Reserva sem código; ","")&amp;IF(I286="Sim","Fechado no dia; ","")&amp;IF(AND(B286&lt;&gt;"",G286&lt;&gt;"",B286&lt;G286),"Antes de abrir; ","")&amp;IF(AND(B286&lt;&gt;"",H286&lt;&gt;"",B286+C286/1440&gt;H286),"Depois de fechar; ",""))</f>
        <v/>
      </c>
    </row>
    <row r="287" customFormat="false" ht="15" hidden="false" customHeight="false" outlineLevel="0" collapsed="false">
      <c r="A287" s="7"/>
      <c r="B287" s="10"/>
      <c r="C287" s="11"/>
      <c r="D287" s="8"/>
      <c r="E287" s="8"/>
      <c r="F287" s="8"/>
      <c r="G287" s="10"/>
      <c r="H287" s="10"/>
      <c r="I287" s="8"/>
      <c r="J287" s="11"/>
      <c r="K287" s="8"/>
      <c r="L287" s="8"/>
      <c r="M287" s="8"/>
      <c r="N287" s="11"/>
      <c r="O287" s="8"/>
      <c r="P287" s="12"/>
      <c r="Q287" s="8"/>
      <c r="R287" s="8"/>
      <c r="S287" s="9" t="str">
        <f aca="false">IF(E287="","",IF(AND(OR(D287="Restaurante",D287="Ingresso"),OR(K287="",K287="A decidir")),"Reserva a decidir; ","")&amp;IF(AND(D287="Ingresso",K287="Não"),"Ingresso não comprado; ","")&amp;IF(AND(K287="Sim",L287=""),"Reserva sem código; ","")&amp;IF(I287="Sim","Fechado no dia; ","")&amp;IF(AND(B287&lt;&gt;"",G287&lt;&gt;"",B287&lt;G287),"Antes de abrir; ","")&amp;IF(AND(B287&lt;&gt;"",H287&lt;&gt;"",B287+C287/1440&gt;H287),"Depois de fechar; ",""))</f>
        <v/>
      </c>
    </row>
    <row r="288" customFormat="false" ht="15" hidden="false" customHeight="false" outlineLevel="0" collapsed="false">
      <c r="A288" s="7"/>
      <c r="B288" s="10"/>
      <c r="C288" s="11"/>
      <c r="D288" s="8"/>
      <c r="E288" s="8"/>
      <c r="F288" s="8"/>
      <c r="G288" s="10"/>
      <c r="H288" s="10"/>
      <c r="I288" s="8"/>
      <c r="J288" s="11"/>
      <c r="K288" s="8"/>
      <c r="L288" s="8"/>
      <c r="M288" s="8"/>
      <c r="N288" s="11"/>
      <c r="O288" s="8"/>
      <c r="P288" s="12"/>
      <c r="Q288" s="8"/>
      <c r="R288" s="8"/>
      <c r="S288" s="9" t="str">
        <f aca="false">IF(E288="","",IF(AND(OR(D288="Restaurante",D288="Ingresso"),OR(K288="",K288="A decidir")),"Reserva a decidir; ","")&amp;IF(AND(D288="Ingresso",K288="Não"),"Ingresso não comprado; ","")&amp;IF(AND(K288="Sim",L288=""),"Reserva sem código; ","")&amp;IF(I288="Sim","Fechado no dia; ","")&amp;IF(AND(B288&lt;&gt;"",G288&lt;&gt;"",B288&lt;G288),"Antes de abrir; ","")&amp;IF(AND(B288&lt;&gt;"",H288&lt;&gt;"",B288+C288/1440&gt;H288),"Depois de fechar; ",""))</f>
        <v/>
      </c>
    </row>
    <row r="289" customFormat="false" ht="15" hidden="false" customHeight="false" outlineLevel="0" collapsed="false">
      <c r="A289" s="7"/>
      <c r="B289" s="10"/>
      <c r="C289" s="11"/>
      <c r="D289" s="8"/>
      <c r="E289" s="8"/>
      <c r="F289" s="8"/>
      <c r="G289" s="10"/>
      <c r="H289" s="10"/>
      <c r="I289" s="8"/>
      <c r="J289" s="11"/>
      <c r="K289" s="8"/>
      <c r="L289" s="8"/>
      <c r="M289" s="8"/>
      <c r="N289" s="11"/>
      <c r="O289" s="8"/>
      <c r="P289" s="12"/>
      <c r="Q289" s="8"/>
      <c r="R289" s="8"/>
      <c r="S289" s="9" t="str">
        <f aca="false">IF(E289="","",IF(AND(OR(D289="Restaurante",D289="Ingresso"),OR(K289="",K289="A decidir")),"Reserva a decidir; ","")&amp;IF(AND(D289="Ingresso",K289="Não"),"Ingresso não comprado; ","")&amp;IF(AND(K289="Sim",L289=""),"Reserva sem código; ","")&amp;IF(I289="Sim","Fechado no dia; ","")&amp;IF(AND(B289&lt;&gt;"",G289&lt;&gt;"",B289&lt;G289),"Antes de abrir; ","")&amp;IF(AND(B289&lt;&gt;"",H289&lt;&gt;"",B289+C289/1440&gt;H289),"Depois de fechar; ",""))</f>
        <v/>
      </c>
    </row>
    <row r="290" customFormat="false" ht="15" hidden="false" customHeight="false" outlineLevel="0" collapsed="false">
      <c r="A290" s="7"/>
      <c r="B290" s="10"/>
      <c r="C290" s="11"/>
      <c r="D290" s="8"/>
      <c r="E290" s="8"/>
      <c r="F290" s="8"/>
      <c r="G290" s="10"/>
      <c r="H290" s="10"/>
      <c r="I290" s="8"/>
      <c r="J290" s="11"/>
      <c r="K290" s="8"/>
      <c r="L290" s="8"/>
      <c r="M290" s="8"/>
      <c r="N290" s="11"/>
      <c r="O290" s="8"/>
      <c r="P290" s="12"/>
      <c r="Q290" s="8"/>
      <c r="R290" s="8"/>
      <c r="S290" s="9" t="str">
        <f aca="false">IF(E290="","",IF(AND(OR(D290="Restaurante",D290="Ingresso"),OR(K290="",K290="A decidir")),"Reserva a decidir; ","")&amp;IF(AND(D290="Ingresso",K290="Não"),"Ingresso não comprado; ","")&amp;IF(AND(K290="Sim",L290=""),"Reserva sem código; ","")&amp;IF(I290="Sim","Fechado no dia; ","")&amp;IF(AND(B290&lt;&gt;"",G290&lt;&gt;"",B290&lt;G290),"Antes de abrir; ","")&amp;IF(AND(B290&lt;&gt;"",H290&lt;&gt;"",B290+C290/1440&gt;H290),"Depois de fechar; ",""))</f>
        <v/>
      </c>
    </row>
    <row r="291" customFormat="false" ht="15" hidden="false" customHeight="false" outlineLevel="0" collapsed="false">
      <c r="A291" s="7"/>
      <c r="B291" s="10"/>
      <c r="C291" s="11"/>
      <c r="D291" s="8"/>
      <c r="E291" s="8"/>
      <c r="F291" s="8"/>
      <c r="G291" s="10"/>
      <c r="H291" s="10"/>
      <c r="I291" s="8"/>
      <c r="J291" s="11"/>
      <c r="K291" s="8"/>
      <c r="L291" s="8"/>
      <c r="M291" s="8"/>
      <c r="N291" s="11"/>
      <c r="O291" s="8"/>
      <c r="P291" s="12"/>
      <c r="Q291" s="8"/>
      <c r="R291" s="8"/>
      <c r="S291" s="9" t="str">
        <f aca="false">IF(E291="","",IF(AND(OR(D291="Restaurante",D291="Ingresso"),OR(K291="",K291="A decidir")),"Reserva a decidir; ","")&amp;IF(AND(D291="Ingresso",K291="Não"),"Ingresso não comprado; ","")&amp;IF(AND(K291="Sim",L291=""),"Reserva sem código; ","")&amp;IF(I291="Sim","Fechado no dia; ","")&amp;IF(AND(B291&lt;&gt;"",G291&lt;&gt;"",B291&lt;G291),"Antes de abrir; ","")&amp;IF(AND(B291&lt;&gt;"",H291&lt;&gt;"",B291+C291/1440&gt;H291),"Depois de fechar; ",""))</f>
        <v/>
      </c>
    </row>
    <row r="292" customFormat="false" ht="15" hidden="false" customHeight="false" outlineLevel="0" collapsed="false">
      <c r="A292" s="7"/>
      <c r="B292" s="10"/>
      <c r="C292" s="11"/>
      <c r="D292" s="8"/>
      <c r="E292" s="8"/>
      <c r="F292" s="8"/>
      <c r="G292" s="10"/>
      <c r="H292" s="10"/>
      <c r="I292" s="8"/>
      <c r="J292" s="11"/>
      <c r="K292" s="8"/>
      <c r="L292" s="8"/>
      <c r="M292" s="8"/>
      <c r="N292" s="11"/>
      <c r="O292" s="8"/>
      <c r="P292" s="12"/>
      <c r="Q292" s="8"/>
      <c r="R292" s="8"/>
      <c r="S292" s="9" t="str">
        <f aca="false">IF(E292="","",IF(AND(OR(D292="Restaurante",D292="Ingresso"),OR(K292="",K292="A decidir")),"Reserva a decidir; ","")&amp;IF(AND(D292="Ingresso",K292="Não"),"Ingresso não comprado; ","")&amp;IF(AND(K292="Sim",L292=""),"Reserva sem código; ","")&amp;IF(I292="Sim","Fechado no dia; ","")&amp;IF(AND(B292&lt;&gt;"",G292&lt;&gt;"",B292&lt;G292),"Antes de abrir; ","")&amp;IF(AND(B292&lt;&gt;"",H292&lt;&gt;"",B292+C292/1440&gt;H292),"Depois de fechar; ",""))</f>
        <v/>
      </c>
    </row>
    <row r="293" customFormat="false" ht="15" hidden="false" customHeight="false" outlineLevel="0" collapsed="false">
      <c r="A293" s="7"/>
      <c r="B293" s="10"/>
      <c r="C293" s="11"/>
      <c r="D293" s="8"/>
      <c r="E293" s="8"/>
      <c r="F293" s="8"/>
      <c r="G293" s="10"/>
      <c r="H293" s="10"/>
      <c r="I293" s="8"/>
      <c r="J293" s="11"/>
      <c r="K293" s="8"/>
      <c r="L293" s="8"/>
      <c r="M293" s="8"/>
      <c r="N293" s="11"/>
      <c r="O293" s="8"/>
      <c r="P293" s="12"/>
      <c r="Q293" s="8"/>
      <c r="R293" s="8"/>
      <c r="S293" s="9" t="str">
        <f aca="false">IF(E293="","",IF(AND(OR(D293="Restaurante",D293="Ingresso"),OR(K293="",K293="A decidir")),"Reserva a decidir; ","")&amp;IF(AND(D293="Ingresso",K293="Não"),"Ingresso não comprado; ","")&amp;IF(AND(K293="Sim",L293=""),"Reserva sem código; ","")&amp;IF(I293="Sim","Fechado no dia; ","")&amp;IF(AND(B293&lt;&gt;"",G293&lt;&gt;"",B293&lt;G293),"Antes de abrir; ","")&amp;IF(AND(B293&lt;&gt;"",H293&lt;&gt;"",B293+C293/1440&gt;H293),"Depois de fechar; ",""))</f>
        <v/>
      </c>
    </row>
    <row r="294" customFormat="false" ht="15" hidden="false" customHeight="false" outlineLevel="0" collapsed="false">
      <c r="A294" s="7"/>
      <c r="B294" s="10"/>
      <c r="C294" s="11"/>
      <c r="D294" s="8"/>
      <c r="E294" s="8"/>
      <c r="F294" s="8"/>
      <c r="G294" s="10"/>
      <c r="H294" s="10"/>
      <c r="I294" s="8"/>
      <c r="J294" s="11"/>
      <c r="K294" s="8"/>
      <c r="L294" s="8"/>
      <c r="M294" s="8"/>
      <c r="N294" s="11"/>
      <c r="O294" s="8"/>
      <c r="P294" s="12"/>
      <c r="Q294" s="8"/>
      <c r="R294" s="8"/>
      <c r="S294" s="9" t="str">
        <f aca="false">IF(E294="","",IF(AND(OR(D294="Restaurante",D294="Ingresso"),OR(K294="",K294="A decidir")),"Reserva a decidir; ","")&amp;IF(AND(D294="Ingresso",K294="Não"),"Ingresso não comprado; ","")&amp;IF(AND(K294="Sim",L294=""),"Reserva sem código; ","")&amp;IF(I294="Sim","Fechado no dia; ","")&amp;IF(AND(B294&lt;&gt;"",G294&lt;&gt;"",B294&lt;G294),"Antes de abrir; ","")&amp;IF(AND(B294&lt;&gt;"",H294&lt;&gt;"",B294+C294/1440&gt;H294),"Depois de fechar; ",""))</f>
        <v/>
      </c>
    </row>
    <row r="295" customFormat="false" ht="15" hidden="false" customHeight="false" outlineLevel="0" collapsed="false">
      <c r="A295" s="7"/>
      <c r="B295" s="10"/>
      <c r="C295" s="11"/>
      <c r="D295" s="8"/>
      <c r="E295" s="8"/>
      <c r="F295" s="8"/>
      <c r="G295" s="10"/>
      <c r="H295" s="10"/>
      <c r="I295" s="8"/>
      <c r="J295" s="11"/>
      <c r="K295" s="8"/>
      <c r="L295" s="8"/>
      <c r="M295" s="8"/>
      <c r="N295" s="11"/>
      <c r="O295" s="8"/>
      <c r="P295" s="12"/>
      <c r="Q295" s="8"/>
      <c r="R295" s="8"/>
      <c r="S295" s="9" t="str">
        <f aca="false">IF(E295="","",IF(AND(OR(D295="Restaurante",D295="Ingresso"),OR(K295="",K295="A decidir")),"Reserva a decidir; ","")&amp;IF(AND(D295="Ingresso",K295="Não"),"Ingresso não comprado; ","")&amp;IF(AND(K295="Sim",L295=""),"Reserva sem código; ","")&amp;IF(I295="Sim","Fechado no dia; ","")&amp;IF(AND(B295&lt;&gt;"",G295&lt;&gt;"",B295&lt;G295),"Antes de abrir; ","")&amp;IF(AND(B295&lt;&gt;"",H295&lt;&gt;"",B295+C295/1440&gt;H295),"Depois de fechar; ",""))</f>
        <v/>
      </c>
    </row>
    <row r="296" customFormat="false" ht="15" hidden="false" customHeight="false" outlineLevel="0" collapsed="false">
      <c r="A296" s="7"/>
      <c r="B296" s="10"/>
      <c r="C296" s="11"/>
      <c r="D296" s="8"/>
      <c r="E296" s="8"/>
      <c r="F296" s="8"/>
      <c r="G296" s="10"/>
      <c r="H296" s="10"/>
      <c r="I296" s="8"/>
      <c r="J296" s="11"/>
      <c r="K296" s="8"/>
      <c r="L296" s="8"/>
      <c r="M296" s="8"/>
      <c r="N296" s="11"/>
      <c r="O296" s="8"/>
      <c r="P296" s="12"/>
      <c r="Q296" s="8"/>
      <c r="R296" s="8"/>
      <c r="S296" s="9" t="str">
        <f aca="false">IF(E296="","",IF(AND(OR(D296="Restaurante",D296="Ingresso"),OR(K296="",K296="A decidir")),"Reserva a decidir; ","")&amp;IF(AND(D296="Ingresso",K296="Não"),"Ingresso não comprado; ","")&amp;IF(AND(K296="Sim",L296=""),"Reserva sem código; ","")&amp;IF(I296="Sim","Fechado no dia; ","")&amp;IF(AND(B296&lt;&gt;"",G296&lt;&gt;"",B296&lt;G296),"Antes de abrir; ","")&amp;IF(AND(B296&lt;&gt;"",H296&lt;&gt;"",B296+C296/1440&gt;H296),"Depois de fechar; ",""))</f>
        <v/>
      </c>
    </row>
    <row r="297" customFormat="false" ht="15" hidden="false" customHeight="false" outlineLevel="0" collapsed="false">
      <c r="A297" s="7"/>
      <c r="B297" s="10"/>
      <c r="C297" s="11"/>
      <c r="D297" s="8"/>
      <c r="E297" s="8"/>
      <c r="F297" s="8"/>
      <c r="G297" s="10"/>
      <c r="H297" s="10"/>
      <c r="I297" s="8"/>
      <c r="J297" s="11"/>
      <c r="K297" s="8"/>
      <c r="L297" s="8"/>
      <c r="M297" s="8"/>
      <c r="N297" s="11"/>
      <c r="O297" s="8"/>
      <c r="P297" s="12"/>
      <c r="Q297" s="8"/>
      <c r="R297" s="8"/>
      <c r="S297" s="9" t="str">
        <f aca="false">IF(E297="","",IF(AND(OR(D297="Restaurante",D297="Ingresso"),OR(K297="",K297="A decidir")),"Reserva a decidir; ","")&amp;IF(AND(D297="Ingresso",K297="Não"),"Ingresso não comprado; ","")&amp;IF(AND(K297="Sim",L297=""),"Reserva sem código; ","")&amp;IF(I297="Sim","Fechado no dia; ","")&amp;IF(AND(B297&lt;&gt;"",G297&lt;&gt;"",B297&lt;G297),"Antes de abrir; ","")&amp;IF(AND(B297&lt;&gt;"",H297&lt;&gt;"",B297+C297/1440&gt;H297),"Depois de fechar; ",""))</f>
        <v/>
      </c>
    </row>
    <row r="298" customFormat="false" ht="15" hidden="false" customHeight="false" outlineLevel="0" collapsed="false">
      <c r="A298" s="7"/>
      <c r="B298" s="10"/>
      <c r="C298" s="11"/>
      <c r="D298" s="8"/>
      <c r="E298" s="8"/>
      <c r="F298" s="8"/>
      <c r="G298" s="10"/>
      <c r="H298" s="10"/>
      <c r="I298" s="8"/>
      <c r="J298" s="11"/>
      <c r="K298" s="8"/>
      <c r="L298" s="8"/>
      <c r="M298" s="8"/>
      <c r="N298" s="11"/>
      <c r="O298" s="8"/>
      <c r="P298" s="12"/>
      <c r="Q298" s="8"/>
      <c r="R298" s="8"/>
      <c r="S298" s="9" t="str">
        <f aca="false">IF(E298="","",IF(AND(OR(D298="Restaurante",D298="Ingresso"),OR(K298="",K298="A decidir")),"Reserva a decidir; ","")&amp;IF(AND(D298="Ingresso",K298="Não"),"Ingresso não comprado; ","")&amp;IF(AND(K298="Sim",L298=""),"Reserva sem código; ","")&amp;IF(I298="Sim","Fechado no dia; ","")&amp;IF(AND(B298&lt;&gt;"",G298&lt;&gt;"",B298&lt;G298),"Antes de abrir; ","")&amp;IF(AND(B298&lt;&gt;"",H298&lt;&gt;"",B298+C298/1440&gt;H298),"Depois de fechar; ",""))</f>
        <v/>
      </c>
    </row>
    <row r="299" customFormat="false" ht="15" hidden="false" customHeight="false" outlineLevel="0" collapsed="false">
      <c r="A299" s="7"/>
      <c r="B299" s="10"/>
      <c r="C299" s="11"/>
      <c r="D299" s="8"/>
      <c r="E299" s="8"/>
      <c r="F299" s="8"/>
      <c r="G299" s="10"/>
      <c r="H299" s="10"/>
      <c r="I299" s="8"/>
      <c r="J299" s="11"/>
      <c r="K299" s="8"/>
      <c r="L299" s="8"/>
      <c r="M299" s="8"/>
      <c r="N299" s="11"/>
      <c r="O299" s="8"/>
      <c r="P299" s="12"/>
      <c r="Q299" s="8"/>
      <c r="R299" s="8"/>
      <c r="S299" s="9" t="str">
        <f aca="false">IF(E299="","",IF(AND(OR(D299="Restaurante",D299="Ingresso"),OR(K299="",K299="A decidir")),"Reserva a decidir; ","")&amp;IF(AND(D299="Ingresso",K299="Não"),"Ingresso não comprado; ","")&amp;IF(AND(K299="Sim",L299=""),"Reserva sem código; ","")&amp;IF(I299="Sim","Fechado no dia; ","")&amp;IF(AND(B299&lt;&gt;"",G299&lt;&gt;"",B299&lt;G299),"Antes de abrir; ","")&amp;IF(AND(B299&lt;&gt;"",H299&lt;&gt;"",B299+C299/1440&gt;H299),"Depois de fechar; ",""))</f>
        <v/>
      </c>
    </row>
    <row r="300" customFormat="false" ht="15" hidden="false" customHeight="false" outlineLevel="0" collapsed="false">
      <c r="A300" s="7"/>
      <c r="B300" s="10"/>
      <c r="C300" s="11"/>
      <c r="D300" s="8"/>
      <c r="E300" s="8"/>
      <c r="F300" s="8"/>
      <c r="G300" s="10"/>
      <c r="H300" s="10"/>
      <c r="I300" s="8"/>
      <c r="J300" s="11"/>
      <c r="K300" s="8"/>
      <c r="L300" s="8"/>
      <c r="M300" s="8"/>
      <c r="N300" s="11"/>
      <c r="O300" s="8"/>
      <c r="P300" s="12"/>
      <c r="Q300" s="8"/>
      <c r="R300" s="8"/>
      <c r="S300" s="9" t="str">
        <f aca="false">IF(E300="","",IF(AND(OR(D300="Restaurante",D300="Ingresso"),OR(K300="",K300="A decidir")),"Reserva a decidir; ","")&amp;IF(AND(D300="Ingresso",K300="Não"),"Ingresso não comprado; ","")&amp;IF(AND(K300="Sim",L300=""),"Reserva sem código; ","")&amp;IF(I300="Sim","Fechado no dia; ","")&amp;IF(AND(B300&lt;&gt;"",G300&lt;&gt;"",B300&lt;G300),"Antes de abrir; ","")&amp;IF(AND(B300&lt;&gt;"",H300&lt;&gt;"",B300+C300/1440&gt;H300),"Depois de fechar; ",""))</f>
        <v/>
      </c>
    </row>
    <row r="301" customFormat="false" ht="15" hidden="false" customHeight="false" outlineLevel="0" collapsed="false">
      <c r="A301" s="7"/>
      <c r="B301" s="10"/>
      <c r="C301" s="11"/>
      <c r="D301" s="8"/>
      <c r="E301" s="8"/>
      <c r="F301" s="8"/>
      <c r="G301" s="10"/>
      <c r="H301" s="10"/>
      <c r="I301" s="8"/>
      <c r="J301" s="11"/>
      <c r="K301" s="8"/>
      <c r="L301" s="8"/>
      <c r="M301" s="8"/>
      <c r="N301" s="11"/>
      <c r="O301" s="8"/>
      <c r="P301" s="12"/>
      <c r="Q301" s="8"/>
      <c r="R301" s="8"/>
      <c r="S301" s="9" t="str">
        <f aca="false">IF(E301="","",IF(AND(OR(D301="Restaurante",D301="Ingresso"),OR(K301="",K301="A decidir")),"Reserva a decidir; ","")&amp;IF(AND(D301="Ingresso",K301="Não"),"Ingresso não comprado; ","")&amp;IF(AND(K301="Sim",L301=""),"Reserva sem código; ","")&amp;IF(I301="Sim","Fechado no dia; ","")&amp;IF(AND(B301&lt;&gt;"",G301&lt;&gt;"",B301&lt;G301),"Antes de abrir; ","")&amp;IF(AND(B301&lt;&gt;"",H301&lt;&gt;"",B301+C301/1440&gt;H301),"Depois de fechar; ",""))</f>
        <v/>
      </c>
    </row>
  </sheetData>
  <dataValidations count="4">
    <dataValidation allowBlank="true" error="Escolha um valor da lista." errorStyle="stop" errorTitle="Valor fora da lista" operator="between" showDropDown="false" showErrorMessage="false" showInputMessage="false" sqref="D2:D301" type="list">
      <formula1>"Passeio,Restaurante,Ingresso,Compras,Livre"</formula1>
      <formula2>0</formula2>
    </dataValidation>
    <dataValidation allowBlank="true" error="Escolha um valor da lista." errorStyle="stop" errorTitle="Valor fora da lista" operator="between" showDropDown="false" showErrorMessage="false" showInputMessage="false" sqref="I2:I301" type="list">
      <formula1>"Sim,Não"</formula1>
      <formula2>0</formula2>
    </dataValidation>
    <dataValidation allowBlank="true" error="Escolha um valor da lista." errorStyle="stop" errorTitle="Valor fora da lista" operator="between" showDropDown="false" showErrorMessage="false" showInputMessage="false" sqref="K2:K301" type="list">
      <formula1>"Sim,Não,Não precisa,A decidir"</formula1>
      <formula2>0</formula2>
    </dataValidation>
    <dataValidation allowBlank="true" error="Escolha um valor da lista." errorStyle="stop" errorTitle="Valor fora da lista" operator="between" showDropDown="false" showErrorMessage="false" showInputMessage="false" sqref="Q2:Q301" type="list">
      <formula1>"Sim,Não"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13"/>
    <col collapsed="false" customWidth="true" hidden="false" outlineLevel="0" max="4" min="4" style="0" width="10"/>
    <col collapsed="false" customWidth="true" hidden="false" outlineLevel="0" max="5" min="5" style="0" width="13"/>
    <col collapsed="false" customWidth="true" hidden="false" outlineLevel="0" max="6" min="6" style="0" width="10"/>
    <col collapsed="false" customWidth="true" hidden="false" outlineLevel="0" max="7" min="7" style="0" width="44"/>
    <col collapsed="false" customWidth="true" hidden="false" outlineLevel="0" max="8" min="8" style="0" width="30"/>
    <col collapsed="false" customWidth="true" hidden="false" outlineLevel="0" max="9" min="9" style="0" width="18"/>
    <col collapsed="false" customWidth="true" hidden="false" outlineLevel="0" max="10" min="10" style="0" width="13"/>
    <col collapsed="false" customWidth="true" hidden="false" outlineLevel="0" max="11" min="11" style="0" width="8"/>
    <col collapsed="false" customWidth="true" hidden="false" outlineLevel="0" max="13" min="12" style="0" width="40"/>
  </cols>
  <sheetData>
    <row r="1" customFormat="false" ht="31.5" hidden="false" customHeight="true" outlineLevel="0" collapsed="false">
      <c r="A1" s="4" t="s">
        <v>46</v>
      </c>
      <c r="B1" s="5" t="s">
        <v>27</v>
      </c>
      <c r="C1" s="4" t="s">
        <v>47</v>
      </c>
      <c r="D1" s="5" t="s">
        <v>48</v>
      </c>
      <c r="E1" s="4" t="s">
        <v>49</v>
      </c>
      <c r="F1" s="5" t="s">
        <v>50</v>
      </c>
      <c r="G1" s="5" t="s">
        <v>51</v>
      </c>
      <c r="H1" s="5" t="s">
        <v>52</v>
      </c>
      <c r="I1" s="5" t="s">
        <v>39</v>
      </c>
      <c r="J1" s="5" t="s">
        <v>53</v>
      </c>
      <c r="K1" s="5" t="s">
        <v>44</v>
      </c>
      <c r="L1" s="5" t="s">
        <v>45</v>
      </c>
      <c r="M1" s="6" t="s">
        <v>31</v>
      </c>
    </row>
    <row r="2" customFormat="false" ht="15" hidden="false" customHeight="false" outlineLevel="0" collapsed="false">
      <c r="A2" s="8"/>
      <c r="B2" s="8"/>
      <c r="C2" s="7"/>
      <c r="D2" s="10"/>
      <c r="E2" s="7"/>
      <c r="F2" s="10"/>
      <c r="G2" s="8"/>
      <c r="H2" s="8"/>
      <c r="I2" s="8"/>
      <c r="J2" s="12"/>
      <c r="K2" s="8"/>
      <c r="L2" s="8"/>
      <c r="M2" s="9" t="str">
        <f aca="false">IF(A2="","",IF(I2="","Sem código; ","")&amp;IF(G2="","Sem endereço; ","")&amp;IF(OR(C2="",E2=""),"Sem datas; ","")&amp;IF(AND(C2&lt;&gt;"",E2&lt;&gt;"",E2&lt;=C2),"Check-out antes do check-in; ",""))</f>
        <v/>
      </c>
    </row>
    <row r="3" customFormat="false" ht="15" hidden="false" customHeight="false" outlineLevel="0" collapsed="false">
      <c r="A3" s="8"/>
      <c r="B3" s="8"/>
      <c r="C3" s="7"/>
      <c r="D3" s="10"/>
      <c r="E3" s="7"/>
      <c r="F3" s="10"/>
      <c r="G3" s="8"/>
      <c r="H3" s="8"/>
      <c r="I3" s="8"/>
      <c r="J3" s="12"/>
      <c r="K3" s="8"/>
      <c r="L3" s="8"/>
      <c r="M3" s="9" t="str">
        <f aca="false">IF(A3="","",IF(I3="","Sem código; ","")&amp;IF(G3="","Sem endereço; ","")&amp;IF(OR(C3="",E3=""),"Sem datas; ","")&amp;IF(AND(C3&lt;&gt;"",E3&lt;&gt;"",E3&lt;=C3),"Check-out antes do check-in; ",""))</f>
        <v/>
      </c>
    </row>
    <row r="4" customFormat="false" ht="15" hidden="false" customHeight="false" outlineLevel="0" collapsed="false">
      <c r="A4" s="8"/>
      <c r="B4" s="8"/>
      <c r="C4" s="7"/>
      <c r="D4" s="10"/>
      <c r="E4" s="7"/>
      <c r="F4" s="10"/>
      <c r="G4" s="8"/>
      <c r="H4" s="8"/>
      <c r="I4" s="8"/>
      <c r="J4" s="12"/>
      <c r="K4" s="8"/>
      <c r="L4" s="8"/>
      <c r="M4" s="9" t="str">
        <f aca="false">IF(A4="","",IF(I4="","Sem código; ","")&amp;IF(G4="","Sem endereço; ","")&amp;IF(OR(C4="",E4=""),"Sem datas; ","")&amp;IF(AND(C4&lt;&gt;"",E4&lt;&gt;"",E4&lt;=C4),"Check-out antes do check-in; ",""))</f>
        <v/>
      </c>
    </row>
    <row r="5" customFormat="false" ht="15" hidden="false" customHeight="false" outlineLevel="0" collapsed="false">
      <c r="A5" s="8"/>
      <c r="B5" s="8"/>
      <c r="C5" s="7"/>
      <c r="D5" s="10"/>
      <c r="E5" s="7"/>
      <c r="F5" s="10"/>
      <c r="G5" s="8"/>
      <c r="H5" s="8"/>
      <c r="I5" s="8"/>
      <c r="J5" s="12"/>
      <c r="K5" s="8"/>
      <c r="L5" s="8"/>
      <c r="M5" s="9" t="str">
        <f aca="false">IF(A5="","",IF(I5="","Sem código; ","")&amp;IF(G5="","Sem endereço; ","")&amp;IF(OR(C5="",E5=""),"Sem datas; ","")&amp;IF(AND(C5&lt;&gt;"",E5&lt;&gt;"",E5&lt;=C5),"Check-out antes do check-in; ",""))</f>
        <v/>
      </c>
    </row>
    <row r="6" customFormat="false" ht="15" hidden="false" customHeight="false" outlineLevel="0" collapsed="false">
      <c r="A6" s="8"/>
      <c r="B6" s="8"/>
      <c r="C6" s="7"/>
      <c r="D6" s="10"/>
      <c r="E6" s="7"/>
      <c r="F6" s="10"/>
      <c r="G6" s="8"/>
      <c r="H6" s="8"/>
      <c r="I6" s="8"/>
      <c r="J6" s="12"/>
      <c r="K6" s="8"/>
      <c r="L6" s="8"/>
      <c r="M6" s="9" t="str">
        <f aca="false">IF(A6="","",IF(I6="","Sem código; ","")&amp;IF(G6="","Sem endereço; ","")&amp;IF(OR(C6="",E6=""),"Sem datas; ","")&amp;IF(AND(C6&lt;&gt;"",E6&lt;&gt;"",E6&lt;=C6),"Check-out antes do check-in; ",""))</f>
        <v/>
      </c>
    </row>
    <row r="7" customFormat="false" ht="15" hidden="false" customHeight="false" outlineLevel="0" collapsed="false">
      <c r="A7" s="8"/>
      <c r="B7" s="8"/>
      <c r="C7" s="7"/>
      <c r="D7" s="10"/>
      <c r="E7" s="7"/>
      <c r="F7" s="10"/>
      <c r="G7" s="8"/>
      <c r="H7" s="8"/>
      <c r="I7" s="8"/>
      <c r="J7" s="12"/>
      <c r="K7" s="8"/>
      <c r="L7" s="8"/>
      <c r="M7" s="9" t="str">
        <f aca="false">IF(A7="","",IF(I7="","Sem código; ","")&amp;IF(G7="","Sem endereço; ","")&amp;IF(OR(C7="",E7=""),"Sem datas; ","")&amp;IF(AND(C7&lt;&gt;"",E7&lt;&gt;"",E7&lt;=C7),"Check-out antes do check-in; ",""))</f>
        <v/>
      </c>
    </row>
    <row r="8" customFormat="false" ht="15" hidden="false" customHeight="false" outlineLevel="0" collapsed="false">
      <c r="A8" s="8"/>
      <c r="B8" s="8"/>
      <c r="C8" s="7"/>
      <c r="D8" s="10"/>
      <c r="E8" s="7"/>
      <c r="F8" s="10"/>
      <c r="G8" s="8"/>
      <c r="H8" s="8"/>
      <c r="I8" s="8"/>
      <c r="J8" s="12"/>
      <c r="K8" s="8"/>
      <c r="L8" s="8"/>
      <c r="M8" s="9" t="str">
        <f aca="false">IF(A8="","",IF(I8="","Sem código; ","")&amp;IF(G8="","Sem endereço; ","")&amp;IF(OR(C8="",E8=""),"Sem datas; ","")&amp;IF(AND(C8&lt;&gt;"",E8&lt;&gt;"",E8&lt;=C8),"Check-out antes do check-in; ",""))</f>
        <v/>
      </c>
    </row>
    <row r="9" customFormat="false" ht="15" hidden="false" customHeight="false" outlineLevel="0" collapsed="false">
      <c r="A9" s="8"/>
      <c r="B9" s="8"/>
      <c r="C9" s="7"/>
      <c r="D9" s="10"/>
      <c r="E9" s="7"/>
      <c r="F9" s="10"/>
      <c r="G9" s="8"/>
      <c r="H9" s="8"/>
      <c r="I9" s="8"/>
      <c r="J9" s="12"/>
      <c r="K9" s="8"/>
      <c r="L9" s="8"/>
      <c r="M9" s="9" t="str">
        <f aca="false">IF(A9="","",IF(I9="","Sem código; ","")&amp;IF(G9="","Sem endereço; ","")&amp;IF(OR(C9="",E9=""),"Sem datas; ","")&amp;IF(AND(C9&lt;&gt;"",E9&lt;&gt;"",E9&lt;=C9),"Check-out antes do check-in; ",""))</f>
        <v/>
      </c>
    </row>
    <row r="10" customFormat="false" ht="15" hidden="false" customHeight="false" outlineLevel="0" collapsed="false">
      <c r="A10" s="8"/>
      <c r="B10" s="8"/>
      <c r="C10" s="7"/>
      <c r="D10" s="10"/>
      <c r="E10" s="7"/>
      <c r="F10" s="10"/>
      <c r="G10" s="8"/>
      <c r="H10" s="8"/>
      <c r="I10" s="8"/>
      <c r="J10" s="12"/>
      <c r="K10" s="8"/>
      <c r="L10" s="8"/>
      <c r="M10" s="9" t="str">
        <f aca="false">IF(A10="","",IF(I10="","Sem código; ","")&amp;IF(G10="","Sem endereço; ","")&amp;IF(OR(C10="",E10=""),"Sem datas; ","")&amp;IF(AND(C10&lt;&gt;"",E10&lt;&gt;"",E10&lt;=C10),"Check-out antes do check-in; ",""))</f>
        <v/>
      </c>
    </row>
    <row r="11" customFormat="false" ht="15" hidden="false" customHeight="false" outlineLevel="0" collapsed="false">
      <c r="A11" s="8"/>
      <c r="B11" s="8"/>
      <c r="C11" s="7"/>
      <c r="D11" s="10"/>
      <c r="E11" s="7"/>
      <c r="F11" s="10"/>
      <c r="G11" s="8"/>
      <c r="H11" s="8"/>
      <c r="I11" s="8"/>
      <c r="J11" s="12"/>
      <c r="K11" s="8"/>
      <c r="L11" s="8"/>
      <c r="M11" s="9" t="str">
        <f aca="false">IF(A11="","",IF(I11="","Sem código; ","")&amp;IF(G11="","Sem endereço; ","")&amp;IF(OR(C11="",E11=""),"Sem datas; ","")&amp;IF(AND(C11&lt;&gt;"",E11&lt;&gt;"",E11&lt;=C11),"Check-out antes do check-in; ",""))</f>
        <v/>
      </c>
    </row>
    <row r="12" customFormat="false" ht="15" hidden="false" customHeight="false" outlineLevel="0" collapsed="false">
      <c r="A12" s="8"/>
      <c r="B12" s="8"/>
      <c r="C12" s="7"/>
      <c r="D12" s="10"/>
      <c r="E12" s="7"/>
      <c r="F12" s="10"/>
      <c r="G12" s="8"/>
      <c r="H12" s="8"/>
      <c r="I12" s="8"/>
      <c r="J12" s="12"/>
      <c r="K12" s="8"/>
      <c r="L12" s="8"/>
      <c r="M12" s="9" t="str">
        <f aca="false">IF(A12="","",IF(I12="","Sem código; ","")&amp;IF(G12="","Sem endereço; ","")&amp;IF(OR(C12="",E12=""),"Sem datas; ","")&amp;IF(AND(C12&lt;&gt;"",E12&lt;&gt;"",E12&lt;=C12),"Check-out antes do check-in; ",""))</f>
        <v/>
      </c>
    </row>
    <row r="13" customFormat="false" ht="15" hidden="false" customHeight="false" outlineLevel="0" collapsed="false">
      <c r="A13" s="8"/>
      <c r="B13" s="8"/>
      <c r="C13" s="7"/>
      <c r="D13" s="10"/>
      <c r="E13" s="7"/>
      <c r="F13" s="10"/>
      <c r="G13" s="8"/>
      <c r="H13" s="8"/>
      <c r="I13" s="8"/>
      <c r="J13" s="12"/>
      <c r="K13" s="8"/>
      <c r="L13" s="8"/>
      <c r="M13" s="9" t="str">
        <f aca="false">IF(A13="","",IF(I13="","Sem código; ","")&amp;IF(G13="","Sem endereço; ","")&amp;IF(OR(C13="",E13=""),"Sem datas; ","")&amp;IF(AND(C13&lt;&gt;"",E13&lt;&gt;"",E13&lt;=C13),"Check-out antes do check-in; ",""))</f>
        <v/>
      </c>
    </row>
    <row r="14" customFormat="false" ht="15" hidden="false" customHeight="false" outlineLevel="0" collapsed="false">
      <c r="A14" s="8"/>
      <c r="B14" s="8"/>
      <c r="C14" s="7"/>
      <c r="D14" s="10"/>
      <c r="E14" s="7"/>
      <c r="F14" s="10"/>
      <c r="G14" s="8"/>
      <c r="H14" s="8"/>
      <c r="I14" s="8"/>
      <c r="J14" s="12"/>
      <c r="K14" s="8"/>
      <c r="L14" s="8"/>
      <c r="M14" s="9" t="str">
        <f aca="false">IF(A14="","",IF(I14="","Sem código; ","")&amp;IF(G14="","Sem endereço; ","")&amp;IF(OR(C14="",E14=""),"Sem datas; ","")&amp;IF(AND(C14&lt;&gt;"",E14&lt;&gt;"",E14&lt;=C14),"Check-out antes do check-in; ",""))</f>
        <v/>
      </c>
    </row>
    <row r="15" customFormat="false" ht="15" hidden="false" customHeight="false" outlineLevel="0" collapsed="false">
      <c r="A15" s="8"/>
      <c r="B15" s="8"/>
      <c r="C15" s="7"/>
      <c r="D15" s="10"/>
      <c r="E15" s="7"/>
      <c r="F15" s="10"/>
      <c r="G15" s="8"/>
      <c r="H15" s="8"/>
      <c r="I15" s="8"/>
      <c r="J15" s="12"/>
      <c r="K15" s="8"/>
      <c r="L15" s="8"/>
      <c r="M15" s="9" t="str">
        <f aca="false">IF(A15="","",IF(I15="","Sem código; ","")&amp;IF(G15="","Sem endereço; ","")&amp;IF(OR(C15="",E15=""),"Sem datas; ","")&amp;IF(AND(C15&lt;&gt;"",E15&lt;&gt;"",E15&lt;=C15),"Check-out antes do check-in; ",""))</f>
        <v/>
      </c>
    </row>
    <row r="16" customFormat="false" ht="15" hidden="false" customHeight="false" outlineLevel="0" collapsed="false">
      <c r="A16" s="8"/>
      <c r="B16" s="8"/>
      <c r="C16" s="7"/>
      <c r="D16" s="10"/>
      <c r="E16" s="7"/>
      <c r="F16" s="10"/>
      <c r="G16" s="8"/>
      <c r="H16" s="8"/>
      <c r="I16" s="8"/>
      <c r="J16" s="12"/>
      <c r="K16" s="8"/>
      <c r="L16" s="8"/>
      <c r="M16" s="9" t="str">
        <f aca="false">IF(A16="","",IF(I16="","Sem código; ","")&amp;IF(G16="","Sem endereço; ","")&amp;IF(OR(C16="",E16=""),"Sem datas; ","")&amp;IF(AND(C16&lt;&gt;"",E16&lt;&gt;"",E16&lt;=C16),"Check-out antes do check-in; ",""))</f>
        <v/>
      </c>
    </row>
    <row r="17" customFormat="false" ht="15" hidden="false" customHeight="false" outlineLevel="0" collapsed="false">
      <c r="A17" s="8"/>
      <c r="B17" s="8"/>
      <c r="C17" s="7"/>
      <c r="D17" s="10"/>
      <c r="E17" s="7"/>
      <c r="F17" s="10"/>
      <c r="G17" s="8"/>
      <c r="H17" s="8"/>
      <c r="I17" s="8"/>
      <c r="J17" s="12"/>
      <c r="K17" s="8"/>
      <c r="L17" s="8"/>
      <c r="M17" s="9" t="str">
        <f aca="false">IF(A17="","",IF(I17="","Sem código; ","")&amp;IF(G17="","Sem endereço; ","")&amp;IF(OR(C17="",E17=""),"Sem datas; ","")&amp;IF(AND(C17&lt;&gt;"",E17&lt;&gt;"",E17&lt;=C17),"Check-out antes do check-in; ",""))</f>
        <v/>
      </c>
    </row>
    <row r="18" customFormat="false" ht="15" hidden="false" customHeight="false" outlineLevel="0" collapsed="false">
      <c r="A18" s="8"/>
      <c r="B18" s="8"/>
      <c r="C18" s="7"/>
      <c r="D18" s="10"/>
      <c r="E18" s="7"/>
      <c r="F18" s="10"/>
      <c r="G18" s="8"/>
      <c r="H18" s="8"/>
      <c r="I18" s="8"/>
      <c r="J18" s="12"/>
      <c r="K18" s="8"/>
      <c r="L18" s="8"/>
      <c r="M18" s="9" t="str">
        <f aca="false">IF(A18="","",IF(I18="","Sem código; ","")&amp;IF(G18="","Sem endereço; ","")&amp;IF(OR(C18="",E18=""),"Sem datas; ","")&amp;IF(AND(C18&lt;&gt;"",E18&lt;&gt;"",E18&lt;=C18),"Check-out antes do check-in; ",""))</f>
        <v/>
      </c>
    </row>
    <row r="19" customFormat="false" ht="15" hidden="false" customHeight="false" outlineLevel="0" collapsed="false">
      <c r="A19" s="8"/>
      <c r="B19" s="8"/>
      <c r="C19" s="7"/>
      <c r="D19" s="10"/>
      <c r="E19" s="7"/>
      <c r="F19" s="10"/>
      <c r="G19" s="8"/>
      <c r="H19" s="8"/>
      <c r="I19" s="8"/>
      <c r="J19" s="12"/>
      <c r="K19" s="8"/>
      <c r="L19" s="8"/>
      <c r="M19" s="9" t="str">
        <f aca="false">IF(A19="","",IF(I19="","Sem código; ","")&amp;IF(G19="","Sem endereço; ","")&amp;IF(OR(C19="",E19=""),"Sem datas; ","")&amp;IF(AND(C19&lt;&gt;"",E19&lt;&gt;"",E19&lt;=C19),"Check-out antes do check-in; ",""))</f>
        <v/>
      </c>
    </row>
    <row r="20" customFormat="false" ht="15" hidden="false" customHeight="false" outlineLevel="0" collapsed="false">
      <c r="A20" s="8"/>
      <c r="B20" s="8"/>
      <c r="C20" s="7"/>
      <c r="D20" s="10"/>
      <c r="E20" s="7"/>
      <c r="F20" s="10"/>
      <c r="G20" s="8"/>
      <c r="H20" s="8"/>
      <c r="I20" s="8"/>
      <c r="J20" s="12"/>
      <c r="K20" s="8"/>
      <c r="L20" s="8"/>
      <c r="M20" s="9" t="str">
        <f aca="false">IF(A20="","",IF(I20="","Sem código; ","")&amp;IF(G20="","Sem endereço; ","")&amp;IF(OR(C20="",E20=""),"Sem datas; ","")&amp;IF(AND(C20&lt;&gt;"",E20&lt;&gt;"",E20&lt;=C20),"Check-out antes do check-in; ",""))</f>
        <v/>
      </c>
    </row>
    <row r="21" customFormat="false" ht="15" hidden="false" customHeight="false" outlineLevel="0" collapsed="false">
      <c r="A21" s="8"/>
      <c r="B21" s="8"/>
      <c r="C21" s="7"/>
      <c r="D21" s="10"/>
      <c r="E21" s="7"/>
      <c r="F21" s="10"/>
      <c r="G21" s="8"/>
      <c r="H21" s="8"/>
      <c r="I21" s="8"/>
      <c r="J21" s="12"/>
      <c r="K21" s="8"/>
      <c r="L21" s="8"/>
      <c r="M21" s="9" t="str">
        <f aca="false">IF(A21="","",IF(I21="","Sem código; ","")&amp;IF(G21="","Sem endereço; ","")&amp;IF(OR(C21="",E21=""),"Sem datas; ","")&amp;IF(AND(C21&lt;&gt;"",E21&lt;&gt;"",E21&lt;=C21),"Check-out antes do check-in; ",""))</f>
        <v/>
      </c>
    </row>
    <row r="22" customFormat="false" ht="15" hidden="false" customHeight="false" outlineLevel="0" collapsed="false">
      <c r="A22" s="8"/>
      <c r="B22" s="8"/>
      <c r="C22" s="7"/>
      <c r="D22" s="10"/>
      <c r="E22" s="7"/>
      <c r="F22" s="10"/>
      <c r="G22" s="8"/>
      <c r="H22" s="8"/>
      <c r="I22" s="8"/>
      <c r="J22" s="12"/>
      <c r="K22" s="8"/>
      <c r="L22" s="8"/>
      <c r="M22" s="9" t="str">
        <f aca="false">IF(A22="","",IF(I22="","Sem código; ","")&amp;IF(G22="","Sem endereço; ","")&amp;IF(OR(C22="",E22=""),"Sem datas; ","")&amp;IF(AND(C22&lt;&gt;"",E22&lt;&gt;"",E22&lt;=C22),"Check-out antes do check-in; ",""))</f>
        <v/>
      </c>
    </row>
    <row r="23" customFormat="false" ht="15" hidden="false" customHeight="false" outlineLevel="0" collapsed="false">
      <c r="A23" s="8"/>
      <c r="B23" s="8"/>
      <c r="C23" s="7"/>
      <c r="D23" s="10"/>
      <c r="E23" s="7"/>
      <c r="F23" s="10"/>
      <c r="G23" s="8"/>
      <c r="H23" s="8"/>
      <c r="I23" s="8"/>
      <c r="J23" s="12"/>
      <c r="K23" s="8"/>
      <c r="L23" s="8"/>
      <c r="M23" s="9" t="str">
        <f aca="false">IF(A23="","",IF(I23="","Sem código; ","")&amp;IF(G23="","Sem endereço; ","")&amp;IF(OR(C23="",E23=""),"Sem datas; ","")&amp;IF(AND(C23&lt;&gt;"",E23&lt;&gt;"",E23&lt;=C23),"Check-out antes do check-in; ",""))</f>
        <v/>
      </c>
    </row>
    <row r="24" customFormat="false" ht="15" hidden="false" customHeight="false" outlineLevel="0" collapsed="false">
      <c r="A24" s="8"/>
      <c r="B24" s="8"/>
      <c r="C24" s="7"/>
      <c r="D24" s="10"/>
      <c r="E24" s="7"/>
      <c r="F24" s="10"/>
      <c r="G24" s="8"/>
      <c r="H24" s="8"/>
      <c r="I24" s="8"/>
      <c r="J24" s="12"/>
      <c r="K24" s="8"/>
      <c r="L24" s="8"/>
      <c r="M24" s="9" t="str">
        <f aca="false">IF(A24="","",IF(I24="","Sem código; ","")&amp;IF(G24="","Sem endereço; ","")&amp;IF(OR(C24="",E24=""),"Sem datas; ","")&amp;IF(AND(C24&lt;&gt;"",E24&lt;&gt;"",E24&lt;=C24),"Check-out antes do check-in; ",""))</f>
        <v/>
      </c>
    </row>
    <row r="25" customFormat="false" ht="15" hidden="false" customHeight="false" outlineLevel="0" collapsed="false">
      <c r="A25" s="8"/>
      <c r="B25" s="8"/>
      <c r="C25" s="7"/>
      <c r="D25" s="10"/>
      <c r="E25" s="7"/>
      <c r="F25" s="10"/>
      <c r="G25" s="8"/>
      <c r="H25" s="8"/>
      <c r="I25" s="8"/>
      <c r="J25" s="12"/>
      <c r="K25" s="8"/>
      <c r="L25" s="8"/>
      <c r="M25" s="9" t="str">
        <f aca="false">IF(A25="","",IF(I25="","Sem código; ","")&amp;IF(G25="","Sem endereço; ","")&amp;IF(OR(C25="",E25=""),"Sem datas; ","")&amp;IF(AND(C25&lt;&gt;"",E25&lt;&gt;"",E25&lt;=C25),"Check-out antes do check-in; ",""))</f>
        <v/>
      </c>
    </row>
    <row r="26" customFormat="false" ht="15" hidden="false" customHeight="false" outlineLevel="0" collapsed="false">
      <c r="A26" s="8"/>
      <c r="B26" s="8"/>
      <c r="C26" s="7"/>
      <c r="D26" s="10"/>
      <c r="E26" s="7"/>
      <c r="F26" s="10"/>
      <c r="G26" s="8"/>
      <c r="H26" s="8"/>
      <c r="I26" s="8"/>
      <c r="J26" s="12"/>
      <c r="K26" s="8"/>
      <c r="L26" s="8"/>
      <c r="M26" s="9" t="str">
        <f aca="false">IF(A26="","",IF(I26="","Sem código; ","")&amp;IF(G26="","Sem endereço; ","")&amp;IF(OR(C26="",E26=""),"Sem datas; ","")&amp;IF(AND(C26&lt;&gt;"",E26&lt;&gt;"",E26&lt;=C26),"Check-out antes do check-in; ",""))</f>
        <v/>
      </c>
    </row>
    <row r="27" customFormat="false" ht="15" hidden="false" customHeight="false" outlineLevel="0" collapsed="false">
      <c r="A27" s="8"/>
      <c r="B27" s="8"/>
      <c r="C27" s="7"/>
      <c r="D27" s="10"/>
      <c r="E27" s="7"/>
      <c r="F27" s="10"/>
      <c r="G27" s="8"/>
      <c r="H27" s="8"/>
      <c r="I27" s="8"/>
      <c r="J27" s="12"/>
      <c r="K27" s="8"/>
      <c r="L27" s="8"/>
      <c r="M27" s="9" t="str">
        <f aca="false">IF(A27="","",IF(I27="","Sem código; ","")&amp;IF(G27="","Sem endereço; ","")&amp;IF(OR(C27="",E27=""),"Sem datas; ","")&amp;IF(AND(C27&lt;&gt;"",E27&lt;&gt;"",E27&lt;=C27),"Check-out antes do check-in; ",""))</f>
        <v/>
      </c>
    </row>
    <row r="28" customFormat="false" ht="15" hidden="false" customHeight="false" outlineLevel="0" collapsed="false">
      <c r="A28" s="8"/>
      <c r="B28" s="8"/>
      <c r="C28" s="7"/>
      <c r="D28" s="10"/>
      <c r="E28" s="7"/>
      <c r="F28" s="10"/>
      <c r="G28" s="8"/>
      <c r="H28" s="8"/>
      <c r="I28" s="8"/>
      <c r="J28" s="12"/>
      <c r="K28" s="8"/>
      <c r="L28" s="8"/>
      <c r="M28" s="9" t="str">
        <f aca="false">IF(A28="","",IF(I28="","Sem código; ","")&amp;IF(G28="","Sem endereço; ","")&amp;IF(OR(C28="",E28=""),"Sem datas; ","")&amp;IF(AND(C28&lt;&gt;"",E28&lt;&gt;"",E28&lt;=C28),"Check-out antes do check-in; ",""))</f>
        <v/>
      </c>
    </row>
    <row r="29" customFormat="false" ht="15" hidden="false" customHeight="false" outlineLevel="0" collapsed="false">
      <c r="A29" s="8"/>
      <c r="B29" s="8"/>
      <c r="C29" s="7"/>
      <c r="D29" s="10"/>
      <c r="E29" s="7"/>
      <c r="F29" s="10"/>
      <c r="G29" s="8"/>
      <c r="H29" s="8"/>
      <c r="I29" s="8"/>
      <c r="J29" s="12"/>
      <c r="K29" s="8"/>
      <c r="L29" s="8"/>
      <c r="M29" s="9" t="str">
        <f aca="false">IF(A29="","",IF(I29="","Sem código; ","")&amp;IF(G29="","Sem endereço; ","")&amp;IF(OR(C29="",E29=""),"Sem datas; ","")&amp;IF(AND(C29&lt;&gt;"",E29&lt;&gt;"",E29&lt;=C29),"Check-out antes do check-in; ",""))</f>
        <v/>
      </c>
    </row>
    <row r="30" customFormat="false" ht="15" hidden="false" customHeight="false" outlineLevel="0" collapsed="false">
      <c r="A30" s="8"/>
      <c r="B30" s="8"/>
      <c r="C30" s="7"/>
      <c r="D30" s="10"/>
      <c r="E30" s="7"/>
      <c r="F30" s="10"/>
      <c r="G30" s="8"/>
      <c r="H30" s="8"/>
      <c r="I30" s="8"/>
      <c r="J30" s="12"/>
      <c r="K30" s="8"/>
      <c r="L30" s="8"/>
      <c r="M30" s="9" t="str">
        <f aca="false">IF(A30="","",IF(I30="","Sem código; ","")&amp;IF(G30="","Sem endereço; ","")&amp;IF(OR(C30="",E30=""),"Sem datas; ","")&amp;IF(AND(C30&lt;&gt;"",E30&lt;&gt;"",E30&lt;=C30),"Check-out antes do check-in; ",""))</f>
        <v/>
      </c>
    </row>
    <row r="31" customFormat="false" ht="15" hidden="false" customHeight="false" outlineLevel="0" collapsed="false">
      <c r="A31" s="8"/>
      <c r="B31" s="8"/>
      <c r="C31" s="7"/>
      <c r="D31" s="10"/>
      <c r="E31" s="7"/>
      <c r="F31" s="10"/>
      <c r="G31" s="8"/>
      <c r="H31" s="8"/>
      <c r="I31" s="8"/>
      <c r="J31" s="12"/>
      <c r="K31" s="8"/>
      <c r="L31" s="8"/>
      <c r="M31" s="9" t="str">
        <f aca="false">IF(A31="","",IF(I31="","Sem código; ","")&amp;IF(G31="","Sem endereço; ","")&amp;IF(OR(C31="",E31=""),"Sem datas; ","")&amp;IF(AND(C31&lt;&gt;"",E31&lt;&gt;"",E31&lt;=C31),"Check-out antes do check-in; ",""))</f>
        <v/>
      </c>
    </row>
    <row r="32" customFormat="false" ht="15" hidden="false" customHeight="false" outlineLevel="0" collapsed="false">
      <c r="A32" s="8"/>
      <c r="B32" s="8"/>
      <c r="C32" s="7"/>
      <c r="D32" s="10"/>
      <c r="E32" s="7"/>
      <c r="F32" s="10"/>
      <c r="G32" s="8"/>
      <c r="H32" s="8"/>
      <c r="I32" s="8"/>
      <c r="J32" s="12"/>
      <c r="K32" s="8"/>
      <c r="L32" s="8"/>
      <c r="M32" s="9" t="str">
        <f aca="false">IF(A32="","",IF(I32="","Sem código; ","")&amp;IF(G32="","Sem endereço; ","")&amp;IF(OR(C32="",E32=""),"Sem datas; ","")&amp;IF(AND(C32&lt;&gt;"",E32&lt;&gt;"",E32&lt;=C32),"Check-out antes do check-in; ",""))</f>
        <v/>
      </c>
    </row>
    <row r="33" customFormat="false" ht="15" hidden="false" customHeight="false" outlineLevel="0" collapsed="false">
      <c r="A33" s="8"/>
      <c r="B33" s="8"/>
      <c r="C33" s="7"/>
      <c r="D33" s="10"/>
      <c r="E33" s="7"/>
      <c r="F33" s="10"/>
      <c r="G33" s="8"/>
      <c r="H33" s="8"/>
      <c r="I33" s="8"/>
      <c r="J33" s="12"/>
      <c r="K33" s="8"/>
      <c r="L33" s="8"/>
      <c r="M33" s="9" t="str">
        <f aca="false">IF(A33="","",IF(I33="","Sem código; ","")&amp;IF(G33="","Sem endereço; ","")&amp;IF(OR(C33="",E33=""),"Sem datas; ","")&amp;IF(AND(C33&lt;&gt;"",E33&lt;&gt;"",E33&lt;=C33),"Check-out antes do check-in; ",""))</f>
        <v/>
      </c>
    </row>
    <row r="34" customFormat="false" ht="15" hidden="false" customHeight="false" outlineLevel="0" collapsed="false">
      <c r="A34" s="8"/>
      <c r="B34" s="8"/>
      <c r="C34" s="7"/>
      <c r="D34" s="10"/>
      <c r="E34" s="7"/>
      <c r="F34" s="10"/>
      <c r="G34" s="8"/>
      <c r="H34" s="8"/>
      <c r="I34" s="8"/>
      <c r="J34" s="12"/>
      <c r="K34" s="8"/>
      <c r="L34" s="8"/>
      <c r="M34" s="9" t="str">
        <f aca="false">IF(A34="","",IF(I34="","Sem código; ","")&amp;IF(G34="","Sem endereço; ","")&amp;IF(OR(C34="",E34=""),"Sem datas; ","")&amp;IF(AND(C34&lt;&gt;"",E34&lt;&gt;"",E34&lt;=C34),"Check-out antes do check-in; ",""))</f>
        <v/>
      </c>
    </row>
    <row r="35" customFormat="false" ht="15" hidden="false" customHeight="false" outlineLevel="0" collapsed="false">
      <c r="A35" s="8"/>
      <c r="B35" s="8"/>
      <c r="C35" s="7"/>
      <c r="D35" s="10"/>
      <c r="E35" s="7"/>
      <c r="F35" s="10"/>
      <c r="G35" s="8"/>
      <c r="H35" s="8"/>
      <c r="I35" s="8"/>
      <c r="J35" s="12"/>
      <c r="K35" s="8"/>
      <c r="L35" s="8"/>
      <c r="M35" s="9" t="str">
        <f aca="false">IF(A35="","",IF(I35="","Sem código; ","")&amp;IF(G35="","Sem endereço; ","")&amp;IF(OR(C35="",E35=""),"Sem datas; ","")&amp;IF(AND(C35&lt;&gt;"",E35&lt;&gt;"",E35&lt;=C35),"Check-out antes do check-in; ",""))</f>
        <v/>
      </c>
    </row>
    <row r="36" customFormat="false" ht="15" hidden="false" customHeight="false" outlineLevel="0" collapsed="false">
      <c r="A36" s="8"/>
      <c r="B36" s="8"/>
      <c r="C36" s="7"/>
      <c r="D36" s="10"/>
      <c r="E36" s="7"/>
      <c r="F36" s="10"/>
      <c r="G36" s="8"/>
      <c r="H36" s="8"/>
      <c r="I36" s="8"/>
      <c r="J36" s="12"/>
      <c r="K36" s="8"/>
      <c r="L36" s="8"/>
      <c r="M36" s="9" t="str">
        <f aca="false">IF(A36="","",IF(I36="","Sem código; ","")&amp;IF(G36="","Sem endereço; ","")&amp;IF(OR(C36="",E36=""),"Sem datas; ","")&amp;IF(AND(C36&lt;&gt;"",E36&lt;&gt;"",E36&lt;=C36),"Check-out antes do check-in; ",""))</f>
        <v/>
      </c>
    </row>
    <row r="37" customFormat="false" ht="15" hidden="false" customHeight="false" outlineLevel="0" collapsed="false">
      <c r="A37" s="8"/>
      <c r="B37" s="8"/>
      <c r="C37" s="7"/>
      <c r="D37" s="10"/>
      <c r="E37" s="7"/>
      <c r="F37" s="10"/>
      <c r="G37" s="8"/>
      <c r="H37" s="8"/>
      <c r="I37" s="8"/>
      <c r="J37" s="12"/>
      <c r="K37" s="8"/>
      <c r="L37" s="8"/>
      <c r="M37" s="9" t="str">
        <f aca="false">IF(A37="","",IF(I37="","Sem código; ","")&amp;IF(G37="","Sem endereço; ","")&amp;IF(OR(C37="",E37=""),"Sem datas; ","")&amp;IF(AND(C37&lt;&gt;"",E37&lt;&gt;"",E37&lt;=C37),"Check-out antes do check-in; ",""))</f>
        <v/>
      </c>
    </row>
    <row r="38" customFormat="false" ht="15" hidden="false" customHeight="false" outlineLevel="0" collapsed="false">
      <c r="A38" s="8"/>
      <c r="B38" s="8"/>
      <c r="C38" s="7"/>
      <c r="D38" s="10"/>
      <c r="E38" s="7"/>
      <c r="F38" s="10"/>
      <c r="G38" s="8"/>
      <c r="H38" s="8"/>
      <c r="I38" s="8"/>
      <c r="J38" s="12"/>
      <c r="K38" s="8"/>
      <c r="L38" s="8"/>
      <c r="M38" s="9" t="str">
        <f aca="false">IF(A38="","",IF(I38="","Sem código; ","")&amp;IF(G38="","Sem endereço; ","")&amp;IF(OR(C38="",E38=""),"Sem datas; ","")&amp;IF(AND(C38&lt;&gt;"",E38&lt;&gt;"",E38&lt;=C38),"Check-out antes do check-in; ",""))</f>
        <v/>
      </c>
    </row>
    <row r="39" customFormat="false" ht="15" hidden="false" customHeight="false" outlineLevel="0" collapsed="false">
      <c r="A39" s="8"/>
      <c r="B39" s="8"/>
      <c r="C39" s="7"/>
      <c r="D39" s="10"/>
      <c r="E39" s="7"/>
      <c r="F39" s="10"/>
      <c r="G39" s="8"/>
      <c r="H39" s="8"/>
      <c r="I39" s="8"/>
      <c r="J39" s="12"/>
      <c r="K39" s="8"/>
      <c r="L39" s="8"/>
      <c r="M39" s="9" t="str">
        <f aca="false">IF(A39="","",IF(I39="","Sem código; ","")&amp;IF(G39="","Sem endereço; ","")&amp;IF(OR(C39="",E39=""),"Sem datas; ","")&amp;IF(AND(C39&lt;&gt;"",E39&lt;&gt;"",E39&lt;=C39),"Check-out antes do check-in; ",""))</f>
        <v/>
      </c>
    </row>
    <row r="40" customFormat="false" ht="15" hidden="false" customHeight="false" outlineLevel="0" collapsed="false">
      <c r="A40" s="8"/>
      <c r="B40" s="8"/>
      <c r="C40" s="7"/>
      <c r="D40" s="10"/>
      <c r="E40" s="7"/>
      <c r="F40" s="10"/>
      <c r="G40" s="8"/>
      <c r="H40" s="8"/>
      <c r="I40" s="8"/>
      <c r="J40" s="12"/>
      <c r="K40" s="8"/>
      <c r="L40" s="8"/>
      <c r="M40" s="9" t="str">
        <f aca="false">IF(A40="","",IF(I40="","Sem código; ","")&amp;IF(G40="","Sem endereço; ","")&amp;IF(OR(C40="",E40=""),"Sem datas; ","")&amp;IF(AND(C40&lt;&gt;"",E40&lt;&gt;"",E40&lt;=C40),"Check-out antes do check-in; ",""))</f>
        <v/>
      </c>
    </row>
    <row r="41" customFormat="false" ht="15" hidden="false" customHeight="false" outlineLevel="0" collapsed="false">
      <c r="A41" s="8"/>
      <c r="B41" s="8"/>
      <c r="C41" s="7"/>
      <c r="D41" s="10"/>
      <c r="E41" s="7"/>
      <c r="F41" s="10"/>
      <c r="G41" s="8"/>
      <c r="H41" s="8"/>
      <c r="I41" s="8"/>
      <c r="J41" s="12"/>
      <c r="K41" s="8"/>
      <c r="L41" s="8"/>
      <c r="M41" s="9" t="str">
        <f aca="false">IF(A41="","",IF(I41="","Sem código; ","")&amp;IF(G41="","Sem endereço; ","")&amp;IF(OR(C41="",E41=""),"Sem datas; ","")&amp;IF(AND(C41&lt;&gt;"",E41&lt;&gt;"",E41&lt;=C41),"Check-out antes do check-in; ",""))</f>
        <v/>
      </c>
    </row>
    <row r="42" customFormat="false" ht="15" hidden="false" customHeight="false" outlineLevel="0" collapsed="false">
      <c r="A42" s="8"/>
      <c r="B42" s="8"/>
      <c r="C42" s="7"/>
      <c r="D42" s="10"/>
      <c r="E42" s="7"/>
      <c r="F42" s="10"/>
      <c r="G42" s="8"/>
      <c r="H42" s="8"/>
      <c r="I42" s="8"/>
      <c r="J42" s="12"/>
      <c r="K42" s="8"/>
      <c r="L42" s="8"/>
      <c r="M42" s="9" t="str">
        <f aca="false">IF(A42="","",IF(I42="","Sem código; ","")&amp;IF(G42="","Sem endereço; ","")&amp;IF(OR(C42="",E42=""),"Sem datas; ","")&amp;IF(AND(C42&lt;&gt;"",E42&lt;&gt;"",E42&lt;=C42),"Check-out antes do check-in; ",""))</f>
        <v/>
      </c>
    </row>
    <row r="43" customFormat="false" ht="15" hidden="false" customHeight="false" outlineLevel="0" collapsed="false">
      <c r="A43" s="8"/>
      <c r="B43" s="8"/>
      <c r="C43" s="7"/>
      <c r="D43" s="10"/>
      <c r="E43" s="7"/>
      <c r="F43" s="10"/>
      <c r="G43" s="8"/>
      <c r="H43" s="8"/>
      <c r="I43" s="8"/>
      <c r="J43" s="12"/>
      <c r="K43" s="8"/>
      <c r="L43" s="8"/>
      <c r="M43" s="9" t="str">
        <f aca="false">IF(A43="","",IF(I43="","Sem código; ","")&amp;IF(G43="","Sem endereço; ","")&amp;IF(OR(C43="",E43=""),"Sem datas; ","")&amp;IF(AND(C43&lt;&gt;"",E43&lt;&gt;"",E43&lt;=C43),"Check-out antes do check-in; ",""))</f>
        <v/>
      </c>
    </row>
    <row r="44" customFormat="false" ht="15" hidden="false" customHeight="false" outlineLevel="0" collapsed="false">
      <c r="A44" s="8"/>
      <c r="B44" s="8"/>
      <c r="C44" s="7"/>
      <c r="D44" s="10"/>
      <c r="E44" s="7"/>
      <c r="F44" s="10"/>
      <c r="G44" s="8"/>
      <c r="H44" s="8"/>
      <c r="I44" s="8"/>
      <c r="J44" s="12"/>
      <c r="K44" s="8"/>
      <c r="L44" s="8"/>
      <c r="M44" s="9" t="str">
        <f aca="false">IF(A44="","",IF(I44="","Sem código; ","")&amp;IF(G44="","Sem endereço; ","")&amp;IF(OR(C44="",E44=""),"Sem datas; ","")&amp;IF(AND(C44&lt;&gt;"",E44&lt;&gt;"",E44&lt;=C44),"Check-out antes do check-in; ",""))</f>
        <v/>
      </c>
    </row>
    <row r="45" customFormat="false" ht="15" hidden="false" customHeight="false" outlineLevel="0" collapsed="false">
      <c r="A45" s="8"/>
      <c r="B45" s="8"/>
      <c r="C45" s="7"/>
      <c r="D45" s="10"/>
      <c r="E45" s="7"/>
      <c r="F45" s="10"/>
      <c r="G45" s="8"/>
      <c r="H45" s="8"/>
      <c r="I45" s="8"/>
      <c r="J45" s="12"/>
      <c r="K45" s="8"/>
      <c r="L45" s="8"/>
      <c r="M45" s="9" t="str">
        <f aca="false">IF(A45="","",IF(I45="","Sem código; ","")&amp;IF(G45="","Sem endereço; ","")&amp;IF(OR(C45="",E45=""),"Sem datas; ","")&amp;IF(AND(C45&lt;&gt;"",E45&lt;&gt;"",E45&lt;=C45),"Check-out antes do check-in; ",""))</f>
        <v/>
      </c>
    </row>
    <row r="46" customFormat="false" ht="15" hidden="false" customHeight="false" outlineLevel="0" collapsed="false">
      <c r="A46" s="8"/>
      <c r="B46" s="8"/>
      <c r="C46" s="7"/>
      <c r="D46" s="10"/>
      <c r="E46" s="7"/>
      <c r="F46" s="10"/>
      <c r="G46" s="8"/>
      <c r="H46" s="8"/>
      <c r="I46" s="8"/>
      <c r="J46" s="12"/>
      <c r="K46" s="8"/>
      <c r="L46" s="8"/>
      <c r="M46" s="9" t="str">
        <f aca="false">IF(A46="","",IF(I46="","Sem código; ","")&amp;IF(G46="","Sem endereço; ","")&amp;IF(OR(C46="",E46=""),"Sem datas; ","")&amp;IF(AND(C46&lt;&gt;"",E46&lt;&gt;"",E46&lt;=C46),"Check-out antes do check-in; ",""))</f>
        <v/>
      </c>
    </row>
    <row r="47" customFormat="false" ht="15" hidden="false" customHeight="false" outlineLevel="0" collapsed="false">
      <c r="A47" s="8"/>
      <c r="B47" s="8"/>
      <c r="C47" s="7"/>
      <c r="D47" s="10"/>
      <c r="E47" s="7"/>
      <c r="F47" s="10"/>
      <c r="G47" s="8"/>
      <c r="H47" s="8"/>
      <c r="I47" s="8"/>
      <c r="J47" s="12"/>
      <c r="K47" s="8"/>
      <c r="L47" s="8"/>
      <c r="M47" s="9" t="str">
        <f aca="false">IF(A47="","",IF(I47="","Sem código; ","")&amp;IF(G47="","Sem endereço; ","")&amp;IF(OR(C47="",E47=""),"Sem datas; ","")&amp;IF(AND(C47&lt;&gt;"",E47&lt;&gt;"",E47&lt;=C47),"Check-out antes do check-in; ",""))</f>
        <v/>
      </c>
    </row>
    <row r="48" customFormat="false" ht="15" hidden="false" customHeight="false" outlineLevel="0" collapsed="false">
      <c r="A48" s="8"/>
      <c r="B48" s="8"/>
      <c r="C48" s="7"/>
      <c r="D48" s="10"/>
      <c r="E48" s="7"/>
      <c r="F48" s="10"/>
      <c r="G48" s="8"/>
      <c r="H48" s="8"/>
      <c r="I48" s="8"/>
      <c r="J48" s="12"/>
      <c r="K48" s="8"/>
      <c r="L48" s="8"/>
      <c r="M48" s="9" t="str">
        <f aca="false">IF(A48="","",IF(I48="","Sem código; ","")&amp;IF(G48="","Sem endereço; ","")&amp;IF(OR(C48="",E48=""),"Sem datas; ","")&amp;IF(AND(C48&lt;&gt;"",E48&lt;&gt;"",E48&lt;=C48),"Check-out antes do check-in; ",""))</f>
        <v/>
      </c>
    </row>
    <row r="49" customFormat="false" ht="15" hidden="false" customHeight="false" outlineLevel="0" collapsed="false">
      <c r="A49" s="8"/>
      <c r="B49" s="8"/>
      <c r="C49" s="7"/>
      <c r="D49" s="10"/>
      <c r="E49" s="7"/>
      <c r="F49" s="10"/>
      <c r="G49" s="8"/>
      <c r="H49" s="8"/>
      <c r="I49" s="8"/>
      <c r="J49" s="12"/>
      <c r="K49" s="8"/>
      <c r="L49" s="8"/>
      <c r="M49" s="9" t="str">
        <f aca="false">IF(A49="","",IF(I49="","Sem código; ","")&amp;IF(G49="","Sem endereço; ","")&amp;IF(OR(C49="",E49=""),"Sem datas; ","")&amp;IF(AND(C49&lt;&gt;"",E49&lt;&gt;"",E49&lt;=C49),"Check-out antes do check-in; ",""))</f>
        <v/>
      </c>
    </row>
    <row r="50" customFormat="false" ht="15" hidden="false" customHeight="false" outlineLevel="0" collapsed="false">
      <c r="A50" s="8"/>
      <c r="B50" s="8"/>
      <c r="C50" s="7"/>
      <c r="D50" s="10"/>
      <c r="E50" s="7"/>
      <c r="F50" s="10"/>
      <c r="G50" s="8"/>
      <c r="H50" s="8"/>
      <c r="I50" s="8"/>
      <c r="J50" s="12"/>
      <c r="K50" s="8"/>
      <c r="L50" s="8"/>
      <c r="M50" s="9" t="str">
        <f aca="false">IF(A50="","",IF(I50="","Sem código; ","")&amp;IF(G50="","Sem endereço; ","")&amp;IF(OR(C50="",E50=""),"Sem datas; ","")&amp;IF(AND(C50&lt;&gt;"",E50&lt;&gt;"",E50&lt;=C50),"Check-out antes do check-in; ",""))</f>
        <v/>
      </c>
    </row>
    <row r="51" customFormat="false" ht="15" hidden="false" customHeight="false" outlineLevel="0" collapsed="false">
      <c r="A51" s="8"/>
      <c r="B51" s="8"/>
      <c r="C51" s="7"/>
      <c r="D51" s="10"/>
      <c r="E51" s="7"/>
      <c r="F51" s="10"/>
      <c r="G51" s="8"/>
      <c r="H51" s="8"/>
      <c r="I51" s="8"/>
      <c r="J51" s="12"/>
      <c r="K51" s="8"/>
      <c r="L51" s="8"/>
      <c r="M51" s="9" t="str">
        <f aca="false">IF(A51="","",IF(I51="","Sem código; ","")&amp;IF(G51="","Sem endereço; ","")&amp;IF(OR(C51="",E51=""),"Sem datas; ","")&amp;IF(AND(C51&lt;&gt;"",E51&lt;&gt;"",E51&lt;=C51),"Check-out antes do check-in; ",""))</f>
        <v/>
      </c>
    </row>
    <row r="52" customFormat="false" ht="15" hidden="false" customHeight="false" outlineLevel="0" collapsed="false">
      <c r="A52" s="8"/>
      <c r="B52" s="8"/>
      <c r="C52" s="7"/>
      <c r="D52" s="10"/>
      <c r="E52" s="7"/>
      <c r="F52" s="10"/>
      <c r="G52" s="8"/>
      <c r="H52" s="8"/>
      <c r="I52" s="8"/>
      <c r="J52" s="12"/>
      <c r="K52" s="8"/>
      <c r="L52" s="8"/>
      <c r="M52" s="9" t="str">
        <f aca="false">IF(A52="","",IF(I52="","Sem código; ","")&amp;IF(G52="","Sem endereço; ","")&amp;IF(OR(C52="",E52=""),"Sem datas; ","")&amp;IF(AND(C52&lt;&gt;"",E52&lt;&gt;"",E52&lt;=C52),"Check-out antes do check-in; ",""))</f>
        <v/>
      </c>
    </row>
    <row r="53" customFormat="false" ht="15" hidden="false" customHeight="false" outlineLevel="0" collapsed="false">
      <c r="A53" s="8"/>
      <c r="B53" s="8"/>
      <c r="C53" s="7"/>
      <c r="D53" s="10"/>
      <c r="E53" s="7"/>
      <c r="F53" s="10"/>
      <c r="G53" s="8"/>
      <c r="H53" s="8"/>
      <c r="I53" s="8"/>
      <c r="J53" s="12"/>
      <c r="K53" s="8"/>
      <c r="L53" s="8"/>
      <c r="M53" s="9" t="str">
        <f aca="false">IF(A53="","",IF(I53="","Sem código; ","")&amp;IF(G53="","Sem endereço; ","")&amp;IF(OR(C53="",E53=""),"Sem datas; ","")&amp;IF(AND(C53&lt;&gt;"",E53&lt;&gt;"",E53&lt;=C53),"Check-out antes do check-in; ",""))</f>
        <v/>
      </c>
    </row>
    <row r="54" customFormat="false" ht="15" hidden="false" customHeight="false" outlineLevel="0" collapsed="false">
      <c r="A54" s="8"/>
      <c r="B54" s="8"/>
      <c r="C54" s="7"/>
      <c r="D54" s="10"/>
      <c r="E54" s="7"/>
      <c r="F54" s="10"/>
      <c r="G54" s="8"/>
      <c r="H54" s="8"/>
      <c r="I54" s="8"/>
      <c r="J54" s="12"/>
      <c r="K54" s="8"/>
      <c r="L54" s="8"/>
      <c r="M54" s="9" t="str">
        <f aca="false">IF(A54="","",IF(I54="","Sem código; ","")&amp;IF(G54="","Sem endereço; ","")&amp;IF(OR(C54="",E54=""),"Sem datas; ","")&amp;IF(AND(C54&lt;&gt;"",E54&lt;&gt;"",E54&lt;=C54),"Check-out antes do check-in; ",""))</f>
        <v/>
      </c>
    </row>
    <row r="55" customFormat="false" ht="15" hidden="false" customHeight="false" outlineLevel="0" collapsed="false">
      <c r="A55" s="8"/>
      <c r="B55" s="8"/>
      <c r="C55" s="7"/>
      <c r="D55" s="10"/>
      <c r="E55" s="7"/>
      <c r="F55" s="10"/>
      <c r="G55" s="8"/>
      <c r="H55" s="8"/>
      <c r="I55" s="8"/>
      <c r="J55" s="12"/>
      <c r="K55" s="8"/>
      <c r="L55" s="8"/>
      <c r="M55" s="9" t="str">
        <f aca="false">IF(A55="","",IF(I55="","Sem código; ","")&amp;IF(G55="","Sem endereço; ","")&amp;IF(OR(C55="",E55=""),"Sem datas; ","")&amp;IF(AND(C55&lt;&gt;"",E55&lt;&gt;"",E55&lt;=C55),"Check-out antes do check-in; ",""))</f>
        <v/>
      </c>
    </row>
    <row r="56" customFormat="false" ht="15" hidden="false" customHeight="false" outlineLevel="0" collapsed="false">
      <c r="A56" s="8"/>
      <c r="B56" s="8"/>
      <c r="C56" s="7"/>
      <c r="D56" s="10"/>
      <c r="E56" s="7"/>
      <c r="F56" s="10"/>
      <c r="G56" s="8"/>
      <c r="H56" s="8"/>
      <c r="I56" s="8"/>
      <c r="J56" s="12"/>
      <c r="K56" s="8"/>
      <c r="L56" s="8"/>
      <c r="M56" s="9" t="str">
        <f aca="false">IF(A56="","",IF(I56="","Sem código; ","")&amp;IF(G56="","Sem endereço; ","")&amp;IF(OR(C56="",E56=""),"Sem datas; ","")&amp;IF(AND(C56&lt;&gt;"",E56&lt;&gt;"",E56&lt;=C56),"Check-out antes do check-in; ",""))</f>
        <v/>
      </c>
    </row>
    <row r="57" customFormat="false" ht="15" hidden="false" customHeight="false" outlineLevel="0" collapsed="false">
      <c r="A57" s="8"/>
      <c r="B57" s="8"/>
      <c r="C57" s="7"/>
      <c r="D57" s="10"/>
      <c r="E57" s="7"/>
      <c r="F57" s="10"/>
      <c r="G57" s="8"/>
      <c r="H57" s="8"/>
      <c r="I57" s="8"/>
      <c r="J57" s="12"/>
      <c r="K57" s="8"/>
      <c r="L57" s="8"/>
      <c r="M57" s="9" t="str">
        <f aca="false">IF(A57="","",IF(I57="","Sem código; ","")&amp;IF(G57="","Sem endereço; ","")&amp;IF(OR(C57="",E57=""),"Sem datas; ","")&amp;IF(AND(C57&lt;&gt;"",E57&lt;&gt;"",E57&lt;=C57),"Check-out antes do check-in; ",""))</f>
        <v/>
      </c>
    </row>
    <row r="58" customFormat="false" ht="15" hidden="false" customHeight="false" outlineLevel="0" collapsed="false">
      <c r="A58" s="8"/>
      <c r="B58" s="8"/>
      <c r="C58" s="7"/>
      <c r="D58" s="10"/>
      <c r="E58" s="7"/>
      <c r="F58" s="10"/>
      <c r="G58" s="8"/>
      <c r="H58" s="8"/>
      <c r="I58" s="8"/>
      <c r="J58" s="12"/>
      <c r="K58" s="8"/>
      <c r="L58" s="8"/>
      <c r="M58" s="9" t="str">
        <f aca="false">IF(A58="","",IF(I58="","Sem código; ","")&amp;IF(G58="","Sem endereço; ","")&amp;IF(OR(C58="",E58=""),"Sem datas; ","")&amp;IF(AND(C58&lt;&gt;"",E58&lt;&gt;"",E58&lt;=C58),"Check-out antes do check-in; ",""))</f>
        <v/>
      </c>
    </row>
    <row r="59" customFormat="false" ht="15" hidden="false" customHeight="false" outlineLevel="0" collapsed="false">
      <c r="A59" s="8"/>
      <c r="B59" s="8"/>
      <c r="C59" s="7"/>
      <c r="D59" s="10"/>
      <c r="E59" s="7"/>
      <c r="F59" s="10"/>
      <c r="G59" s="8"/>
      <c r="H59" s="8"/>
      <c r="I59" s="8"/>
      <c r="J59" s="12"/>
      <c r="K59" s="8"/>
      <c r="L59" s="8"/>
      <c r="M59" s="9" t="str">
        <f aca="false">IF(A59="","",IF(I59="","Sem código; ","")&amp;IF(G59="","Sem endereço; ","")&amp;IF(OR(C59="",E59=""),"Sem datas; ","")&amp;IF(AND(C59&lt;&gt;"",E59&lt;&gt;"",E59&lt;=C59),"Check-out antes do check-in; ",""))</f>
        <v/>
      </c>
    </row>
    <row r="60" customFormat="false" ht="15" hidden="false" customHeight="false" outlineLevel="0" collapsed="false">
      <c r="A60" s="8"/>
      <c r="B60" s="8"/>
      <c r="C60" s="7"/>
      <c r="D60" s="10"/>
      <c r="E60" s="7"/>
      <c r="F60" s="10"/>
      <c r="G60" s="8"/>
      <c r="H60" s="8"/>
      <c r="I60" s="8"/>
      <c r="J60" s="12"/>
      <c r="K60" s="8"/>
      <c r="L60" s="8"/>
      <c r="M60" s="9" t="str">
        <f aca="false">IF(A60="","",IF(I60="","Sem código; ","")&amp;IF(G60="","Sem endereço; ","")&amp;IF(OR(C60="",E60=""),"Sem datas; ","")&amp;IF(AND(C60&lt;&gt;"",E60&lt;&gt;"",E60&lt;=C60),"Check-out antes do check-in; ",""))</f>
        <v/>
      </c>
    </row>
    <row r="61" customFormat="false" ht="15" hidden="false" customHeight="false" outlineLevel="0" collapsed="false">
      <c r="A61" s="8"/>
      <c r="B61" s="8"/>
      <c r="C61" s="7"/>
      <c r="D61" s="10"/>
      <c r="E61" s="7"/>
      <c r="F61" s="10"/>
      <c r="G61" s="8"/>
      <c r="H61" s="8"/>
      <c r="I61" s="8"/>
      <c r="J61" s="12"/>
      <c r="K61" s="8"/>
      <c r="L61" s="8"/>
      <c r="M61" s="9" t="str">
        <f aca="false">IF(A61="","",IF(I61="","Sem código; ","")&amp;IF(G61="","Sem endereço; ","")&amp;IF(OR(C61="",E61=""),"Sem datas; ","")&amp;IF(AND(C61&lt;&gt;"",E61&lt;&gt;"",E61&lt;=C61),"Check-out antes do check-in; ",""))</f>
        <v/>
      </c>
    </row>
    <row r="62" customFormat="false" ht="15" hidden="false" customHeight="false" outlineLevel="0" collapsed="false">
      <c r="A62" s="8"/>
      <c r="B62" s="8"/>
      <c r="C62" s="7"/>
      <c r="D62" s="10"/>
      <c r="E62" s="7"/>
      <c r="F62" s="10"/>
      <c r="G62" s="8"/>
      <c r="H62" s="8"/>
      <c r="I62" s="8"/>
      <c r="J62" s="12"/>
      <c r="K62" s="8"/>
      <c r="L62" s="8"/>
      <c r="M62" s="9" t="str">
        <f aca="false">IF(A62="","",IF(I62="","Sem código; ","")&amp;IF(G62="","Sem endereço; ","")&amp;IF(OR(C62="",E62=""),"Sem datas; ","")&amp;IF(AND(C62&lt;&gt;"",E62&lt;&gt;"",E62&lt;=C62),"Check-out antes do check-in; ",""))</f>
        <v/>
      </c>
    </row>
    <row r="63" customFormat="false" ht="15" hidden="false" customHeight="false" outlineLevel="0" collapsed="false">
      <c r="A63" s="8"/>
      <c r="B63" s="8"/>
      <c r="C63" s="7"/>
      <c r="D63" s="10"/>
      <c r="E63" s="7"/>
      <c r="F63" s="10"/>
      <c r="G63" s="8"/>
      <c r="H63" s="8"/>
      <c r="I63" s="8"/>
      <c r="J63" s="12"/>
      <c r="K63" s="8"/>
      <c r="L63" s="8"/>
      <c r="M63" s="9" t="str">
        <f aca="false">IF(A63="","",IF(I63="","Sem código; ","")&amp;IF(G63="","Sem endereço; ","")&amp;IF(OR(C63="",E63=""),"Sem datas; ","")&amp;IF(AND(C63&lt;&gt;"",E63&lt;&gt;"",E63&lt;=C63),"Check-out antes do check-in; ",""))</f>
        <v/>
      </c>
    </row>
    <row r="64" customFormat="false" ht="15" hidden="false" customHeight="false" outlineLevel="0" collapsed="false">
      <c r="A64" s="8"/>
      <c r="B64" s="8"/>
      <c r="C64" s="7"/>
      <c r="D64" s="10"/>
      <c r="E64" s="7"/>
      <c r="F64" s="10"/>
      <c r="G64" s="8"/>
      <c r="H64" s="8"/>
      <c r="I64" s="8"/>
      <c r="J64" s="12"/>
      <c r="K64" s="8"/>
      <c r="L64" s="8"/>
      <c r="M64" s="9" t="str">
        <f aca="false">IF(A64="","",IF(I64="","Sem código; ","")&amp;IF(G64="","Sem endereço; ","")&amp;IF(OR(C64="",E64=""),"Sem datas; ","")&amp;IF(AND(C64&lt;&gt;"",E64&lt;&gt;"",E64&lt;=C64),"Check-out antes do check-in; ",""))</f>
        <v/>
      </c>
    </row>
    <row r="65" customFormat="false" ht="15" hidden="false" customHeight="false" outlineLevel="0" collapsed="false">
      <c r="A65" s="8"/>
      <c r="B65" s="8"/>
      <c r="C65" s="7"/>
      <c r="D65" s="10"/>
      <c r="E65" s="7"/>
      <c r="F65" s="10"/>
      <c r="G65" s="8"/>
      <c r="H65" s="8"/>
      <c r="I65" s="8"/>
      <c r="J65" s="12"/>
      <c r="K65" s="8"/>
      <c r="L65" s="8"/>
      <c r="M65" s="9" t="str">
        <f aca="false">IF(A65="","",IF(I65="","Sem código; ","")&amp;IF(G65="","Sem endereço; ","")&amp;IF(OR(C65="",E65=""),"Sem datas; ","")&amp;IF(AND(C65&lt;&gt;"",E65&lt;&gt;"",E65&lt;=C65),"Check-out antes do check-in; ",""))</f>
        <v/>
      </c>
    </row>
    <row r="66" customFormat="false" ht="15" hidden="false" customHeight="false" outlineLevel="0" collapsed="false">
      <c r="A66" s="8"/>
      <c r="B66" s="8"/>
      <c r="C66" s="7"/>
      <c r="D66" s="10"/>
      <c r="E66" s="7"/>
      <c r="F66" s="10"/>
      <c r="G66" s="8"/>
      <c r="H66" s="8"/>
      <c r="I66" s="8"/>
      <c r="J66" s="12"/>
      <c r="K66" s="8"/>
      <c r="L66" s="8"/>
      <c r="M66" s="9" t="str">
        <f aca="false">IF(A66="","",IF(I66="","Sem código; ","")&amp;IF(G66="","Sem endereço; ","")&amp;IF(OR(C66="",E66=""),"Sem datas; ","")&amp;IF(AND(C66&lt;&gt;"",E66&lt;&gt;"",E66&lt;=C66),"Check-out antes do check-in; ",""))</f>
        <v/>
      </c>
    </row>
    <row r="67" customFormat="false" ht="15" hidden="false" customHeight="false" outlineLevel="0" collapsed="false">
      <c r="A67" s="8"/>
      <c r="B67" s="8"/>
      <c r="C67" s="7"/>
      <c r="D67" s="10"/>
      <c r="E67" s="7"/>
      <c r="F67" s="10"/>
      <c r="G67" s="8"/>
      <c r="H67" s="8"/>
      <c r="I67" s="8"/>
      <c r="J67" s="12"/>
      <c r="K67" s="8"/>
      <c r="L67" s="8"/>
      <c r="M67" s="9" t="str">
        <f aca="false">IF(A67="","",IF(I67="","Sem código; ","")&amp;IF(G67="","Sem endereço; ","")&amp;IF(OR(C67="",E67=""),"Sem datas; ","")&amp;IF(AND(C67&lt;&gt;"",E67&lt;&gt;"",E67&lt;=C67),"Check-out antes do check-in; ",""))</f>
        <v/>
      </c>
    </row>
    <row r="68" customFormat="false" ht="15" hidden="false" customHeight="false" outlineLevel="0" collapsed="false">
      <c r="A68" s="8"/>
      <c r="B68" s="8"/>
      <c r="C68" s="7"/>
      <c r="D68" s="10"/>
      <c r="E68" s="7"/>
      <c r="F68" s="10"/>
      <c r="G68" s="8"/>
      <c r="H68" s="8"/>
      <c r="I68" s="8"/>
      <c r="J68" s="12"/>
      <c r="K68" s="8"/>
      <c r="L68" s="8"/>
      <c r="M68" s="9" t="str">
        <f aca="false">IF(A68="","",IF(I68="","Sem código; ","")&amp;IF(G68="","Sem endereço; ","")&amp;IF(OR(C68="",E68=""),"Sem datas; ","")&amp;IF(AND(C68&lt;&gt;"",E68&lt;&gt;"",E68&lt;=C68),"Check-out antes do check-in; ",""))</f>
        <v/>
      </c>
    </row>
    <row r="69" customFormat="false" ht="15" hidden="false" customHeight="false" outlineLevel="0" collapsed="false">
      <c r="A69" s="8"/>
      <c r="B69" s="8"/>
      <c r="C69" s="7"/>
      <c r="D69" s="10"/>
      <c r="E69" s="7"/>
      <c r="F69" s="10"/>
      <c r="G69" s="8"/>
      <c r="H69" s="8"/>
      <c r="I69" s="8"/>
      <c r="J69" s="12"/>
      <c r="K69" s="8"/>
      <c r="L69" s="8"/>
      <c r="M69" s="9" t="str">
        <f aca="false">IF(A69="","",IF(I69="","Sem código; ","")&amp;IF(G69="","Sem endereço; ","")&amp;IF(OR(C69="",E69=""),"Sem datas; ","")&amp;IF(AND(C69&lt;&gt;"",E69&lt;&gt;"",E69&lt;=C69),"Check-out antes do check-in; ",""))</f>
        <v/>
      </c>
    </row>
    <row r="70" customFormat="false" ht="15" hidden="false" customHeight="false" outlineLevel="0" collapsed="false">
      <c r="A70" s="8"/>
      <c r="B70" s="8"/>
      <c r="C70" s="7"/>
      <c r="D70" s="10"/>
      <c r="E70" s="7"/>
      <c r="F70" s="10"/>
      <c r="G70" s="8"/>
      <c r="H70" s="8"/>
      <c r="I70" s="8"/>
      <c r="J70" s="12"/>
      <c r="K70" s="8"/>
      <c r="L70" s="8"/>
      <c r="M70" s="9" t="str">
        <f aca="false">IF(A70="","",IF(I70="","Sem código; ","")&amp;IF(G70="","Sem endereço; ","")&amp;IF(OR(C70="",E70=""),"Sem datas; ","")&amp;IF(AND(C70&lt;&gt;"",E70&lt;&gt;"",E70&lt;=C70),"Check-out antes do check-in; ",""))</f>
        <v/>
      </c>
    </row>
    <row r="71" customFormat="false" ht="15" hidden="false" customHeight="false" outlineLevel="0" collapsed="false">
      <c r="A71" s="8"/>
      <c r="B71" s="8"/>
      <c r="C71" s="7"/>
      <c r="D71" s="10"/>
      <c r="E71" s="7"/>
      <c r="F71" s="10"/>
      <c r="G71" s="8"/>
      <c r="H71" s="8"/>
      <c r="I71" s="8"/>
      <c r="J71" s="12"/>
      <c r="K71" s="8"/>
      <c r="L71" s="8"/>
      <c r="M71" s="9" t="str">
        <f aca="false">IF(A71="","",IF(I71="","Sem código; ","")&amp;IF(G71="","Sem endereço; ","")&amp;IF(OR(C71="",E71=""),"Sem datas; ","")&amp;IF(AND(C71&lt;&gt;"",E71&lt;&gt;"",E71&lt;=C71),"Check-out antes do check-in; ",""))</f>
        <v/>
      </c>
    </row>
    <row r="72" customFormat="false" ht="15" hidden="false" customHeight="false" outlineLevel="0" collapsed="false">
      <c r="A72" s="8"/>
      <c r="B72" s="8"/>
      <c r="C72" s="7"/>
      <c r="D72" s="10"/>
      <c r="E72" s="7"/>
      <c r="F72" s="10"/>
      <c r="G72" s="8"/>
      <c r="H72" s="8"/>
      <c r="I72" s="8"/>
      <c r="J72" s="12"/>
      <c r="K72" s="8"/>
      <c r="L72" s="8"/>
      <c r="M72" s="9" t="str">
        <f aca="false">IF(A72="","",IF(I72="","Sem código; ","")&amp;IF(G72="","Sem endereço; ","")&amp;IF(OR(C72="",E72=""),"Sem datas; ","")&amp;IF(AND(C72&lt;&gt;"",E72&lt;&gt;"",E72&lt;=C72),"Check-out antes do check-in; ",""))</f>
        <v/>
      </c>
    </row>
    <row r="73" customFormat="false" ht="15" hidden="false" customHeight="false" outlineLevel="0" collapsed="false">
      <c r="A73" s="8"/>
      <c r="B73" s="8"/>
      <c r="C73" s="7"/>
      <c r="D73" s="10"/>
      <c r="E73" s="7"/>
      <c r="F73" s="10"/>
      <c r="G73" s="8"/>
      <c r="H73" s="8"/>
      <c r="I73" s="8"/>
      <c r="J73" s="12"/>
      <c r="K73" s="8"/>
      <c r="L73" s="8"/>
      <c r="M73" s="9" t="str">
        <f aca="false">IF(A73="","",IF(I73="","Sem código; ","")&amp;IF(G73="","Sem endereço; ","")&amp;IF(OR(C73="",E73=""),"Sem datas; ","")&amp;IF(AND(C73&lt;&gt;"",E73&lt;&gt;"",E73&lt;=C73),"Check-out antes do check-in; ",""))</f>
        <v/>
      </c>
    </row>
    <row r="74" customFormat="false" ht="15" hidden="false" customHeight="false" outlineLevel="0" collapsed="false">
      <c r="A74" s="8"/>
      <c r="B74" s="8"/>
      <c r="C74" s="7"/>
      <c r="D74" s="10"/>
      <c r="E74" s="7"/>
      <c r="F74" s="10"/>
      <c r="G74" s="8"/>
      <c r="H74" s="8"/>
      <c r="I74" s="8"/>
      <c r="J74" s="12"/>
      <c r="K74" s="8"/>
      <c r="L74" s="8"/>
      <c r="M74" s="9" t="str">
        <f aca="false">IF(A74="","",IF(I74="","Sem código; ","")&amp;IF(G74="","Sem endereço; ","")&amp;IF(OR(C74="",E74=""),"Sem datas; ","")&amp;IF(AND(C74&lt;&gt;"",E74&lt;&gt;"",E74&lt;=C74),"Check-out antes do check-in; ",""))</f>
        <v/>
      </c>
    </row>
    <row r="75" customFormat="false" ht="15" hidden="false" customHeight="false" outlineLevel="0" collapsed="false">
      <c r="A75" s="8"/>
      <c r="B75" s="8"/>
      <c r="C75" s="7"/>
      <c r="D75" s="10"/>
      <c r="E75" s="7"/>
      <c r="F75" s="10"/>
      <c r="G75" s="8"/>
      <c r="H75" s="8"/>
      <c r="I75" s="8"/>
      <c r="J75" s="12"/>
      <c r="K75" s="8"/>
      <c r="L75" s="8"/>
      <c r="M75" s="9" t="str">
        <f aca="false">IF(A75="","",IF(I75="","Sem código; ","")&amp;IF(G75="","Sem endereço; ","")&amp;IF(OR(C75="",E75=""),"Sem datas; ","")&amp;IF(AND(C75&lt;&gt;"",E75&lt;&gt;"",E75&lt;=C75),"Check-out antes do check-in; ",""))</f>
        <v/>
      </c>
    </row>
    <row r="76" customFormat="false" ht="15" hidden="false" customHeight="false" outlineLevel="0" collapsed="false">
      <c r="A76" s="8"/>
      <c r="B76" s="8"/>
      <c r="C76" s="7"/>
      <c r="D76" s="10"/>
      <c r="E76" s="7"/>
      <c r="F76" s="10"/>
      <c r="G76" s="8"/>
      <c r="H76" s="8"/>
      <c r="I76" s="8"/>
      <c r="J76" s="12"/>
      <c r="K76" s="8"/>
      <c r="L76" s="8"/>
      <c r="M76" s="9" t="str">
        <f aca="false">IF(A76="","",IF(I76="","Sem código; ","")&amp;IF(G76="","Sem endereço; ","")&amp;IF(OR(C76="",E76=""),"Sem datas; ","")&amp;IF(AND(C76&lt;&gt;"",E76&lt;&gt;"",E76&lt;=C76),"Check-out antes do check-in; ",""))</f>
        <v/>
      </c>
    </row>
    <row r="77" customFormat="false" ht="15" hidden="false" customHeight="false" outlineLevel="0" collapsed="false">
      <c r="A77" s="8"/>
      <c r="B77" s="8"/>
      <c r="C77" s="7"/>
      <c r="D77" s="10"/>
      <c r="E77" s="7"/>
      <c r="F77" s="10"/>
      <c r="G77" s="8"/>
      <c r="H77" s="8"/>
      <c r="I77" s="8"/>
      <c r="J77" s="12"/>
      <c r="K77" s="8"/>
      <c r="L77" s="8"/>
      <c r="M77" s="9" t="str">
        <f aca="false">IF(A77="","",IF(I77="","Sem código; ","")&amp;IF(G77="","Sem endereço; ","")&amp;IF(OR(C77="",E77=""),"Sem datas; ","")&amp;IF(AND(C77&lt;&gt;"",E77&lt;&gt;"",E77&lt;=C77),"Check-out antes do check-in; ",""))</f>
        <v/>
      </c>
    </row>
    <row r="78" customFormat="false" ht="15" hidden="false" customHeight="false" outlineLevel="0" collapsed="false">
      <c r="A78" s="8"/>
      <c r="B78" s="8"/>
      <c r="C78" s="7"/>
      <c r="D78" s="10"/>
      <c r="E78" s="7"/>
      <c r="F78" s="10"/>
      <c r="G78" s="8"/>
      <c r="H78" s="8"/>
      <c r="I78" s="8"/>
      <c r="J78" s="12"/>
      <c r="K78" s="8"/>
      <c r="L78" s="8"/>
      <c r="M78" s="9" t="str">
        <f aca="false">IF(A78="","",IF(I78="","Sem código; ","")&amp;IF(G78="","Sem endereço; ","")&amp;IF(OR(C78="",E78=""),"Sem datas; ","")&amp;IF(AND(C78&lt;&gt;"",E78&lt;&gt;"",E78&lt;=C78),"Check-out antes do check-in; ",""))</f>
        <v/>
      </c>
    </row>
    <row r="79" customFormat="false" ht="15" hidden="false" customHeight="false" outlineLevel="0" collapsed="false">
      <c r="A79" s="8"/>
      <c r="B79" s="8"/>
      <c r="C79" s="7"/>
      <c r="D79" s="10"/>
      <c r="E79" s="7"/>
      <c r="F79" s="10"/>
      <c r="G79" s="8"/>
      <c r="H79" s="8"/>
      <c r="I79" s="8"/>
      <c r="J79" s="12"/>
      <c r="K79" s="8"/>
      <c r="L79" s="8"/>
      <c r="M79" s="9" t="str">
        <f aca="false">IF(A79="","",IF(I79="","Sem código; ","")&amp;IF(G79="","Sem endereço; ","")&amp;IF(OR(C79="",E79=""),"Sem datas; ","")&amp;IF(AND(C79&lt;&gt;"",E79&lt;&gt;"",E79&lt;=C79),"Check-out antes do check-in; ",""))</f>
        <v/>
      </c>
    </row>
    <row r="80" customFormat="false" ht="15" hidden="false" customHeight="false" outlineLevel="0" collapsed="false">
      <c r="A80" s="8"/>
      <c r="B80" s="8"/>
      <c r="C80" s="7"/>
      <c r="D80" s="10"/>
      <c r="E80" s="7"/>
      <c r="F80" s="10"/>
      <c r="G80" s="8"/>
      <c r="H80" s="8"/>
      <c r="I80" s="8"/>
      <c r="J80" s="12"/>
      <c r="K80" s="8"/>
      <c r="L80" s="8"/>
      <c r="M80" s="9" t="str">
        <f aca="false">IF(A80="","",IF(I80="","Sem código; ","")&amp;IF(G80="","Sem endereço; ","")&amp;IF(OR(C80="",E80=""),"Sem datas; ","")&amp;IF(AND(C80&lt;&gt;"",E80&lt;&gt;"",E80&lt;=C80),"Check-out antes do check-in; ",""))</f>
        <v/>
      </c>
    </row>
    <row r="81" customFormat="false" ht="15" hidden="false" customHeight="false" outlineLevel="0" collapsed="false">
      <c r="A81" s="8"/>
      <c r="B81" s="8"/>
      <c r="C81" s="7"/>
      <c r="D81" s="10"/>
      <c r="E81" s="7"/>
      <c r="F81" s="10"/>
      <c r="G81" s="8"/>
      <c r="H81" s="8"/>
      <c r="I81" s="8"/>
      <c r="J81" s="12"/>
      <c r="K81" s="8"/>
      <c r="L81" s="8"/>
      <c r="M81" s="9" t="str">
        <f aca="false">IF(A81="","",IF(I81="","Sem código; ","")&amp;IF(G81="","Sem endereço; ","")&amp;IF(OR(C81="",E81=""),"Sem datas; ","")&amp;IF(AND(C81&lt;&gt;"",E81&lt;&gt;"",E81&lt;=C81),"Check-out antes do check-in; ",""))</f>
        <v/>
      </c>
    </row>
    <row r="82" customFormat="false" ht="15" hidden="false" customHeight="false" outlineLevel="0" collapsed="false">
      <c r="A82" s="8"/>
      <c r="B82" s="8"/>
      <c r="C82" s="7"/>
      <c r="D82" s="10"/>
      <c r="E82" s="7"/>
      <c r="F82" s="10"/>
      <c r="G82" s="8"/>
      <c r="H82" s="8"/>
      <c r="I82" s="8"/>
      <c r="J82" s="12"/>
      <c r="K82" s="8"/>
      <c r="L82" s="8"/>
      <c r="M82" s="9" t="str">
        <f aca="false">IF(A82="","",IF(I82="","Sem código; ","")&amp;IF(G82="","Sem endereço; ","")&amp;IF(OR(C82="",E82=""),"Sem datas; ","")&amp;IF(AND(C82&lt;&gt;"",E82&lt;&gt;"",E82&lt;=C82),"Check-out antes do check-in; ",""))</f>
        <v/>
      </c>
    </row>
    <row r="83" customFormat="false" ht="15" hidden="false" customHeight="false" outlineLevel="0" collapsed="false">
      <c r="A83" s="8"/>
      <c r="B83" s="8"/>
      <c r="C83" s="7"/>
      <c r="D83" s="10"/>
      <c r="E83" s="7"/>
      <c r="F83" s="10"/>
      <c r="G83" s="8"/>
      <c r="H83" s="8"/>
      <c r="I83" s="8"/>
      <c r="J83" s="12"/>
      <c r="K83" s="8"/>
      <c r="L83" s="8"/>
      <c r="M83" s="9" t="str">
        <f aca="false">IF(A83="","",IF(I83="","Sem código; ","")&amp;IF(G83="","Sem endereço; ","")&amp;IF(OR(C83="",E83=""),"Sem datas; ","")&amp;IF(AND(C83&lt;&gt;"",E83&lt;&gt;"",E83&lt;=C83),"Check-out antes do check-in; ",""))</f>
        <v/>
      </c>
    </row>
    <row r="84" customFormat="false" ht="15" hidden="false" customHeight="false" outlineLevel="0" collapsed="false">
      <c r="A84" s="8"/>
      <c r="B84" s="8"/>
      <c r="C84" s="7"/>
      <c r="D84" s="10"/>
      <c r="E84" s="7"/>
      <c r="F84" s="10"/>
      <c r="G84" s="8"/>
      <c r="H84" s="8"/>
      <c r="I84" s="8"/>
      <c r="J84" s="12"/>
      <c r="K84" s="8"/>
      <c r="L84" s="8"/>
      <c r="M84" s="9" t="str">
        <f aca="false">IF(A84="","",IF(I84="","Sem código; ","")&amp;IF(G84="","Sem endereço; ","")&amp;IF(OR(C84="",E84=""),"Sem datas; ","")&amp;IF(AND(C84&lt;&gt;"",E84&lt;&gt;"",E84&lt;=C84),"Check-out antes do check-in; ",""))</f>
        <v/>
      </c>
    </row>
    <row r="85" customFormat="false" ht="15" hidden="false" customHeight="false" outlineLevel="0" collapsed="false">
      <c r="A85" s="8"/>
      <c r="B85" s="8"/>
      <c r="C85" s="7"/>
      <c r="D85" s="10"/>
      <c r="E85" s="7"/>
      <c r="F85" s="10"/>
      <c r="G85" s="8"/>
      <c r="H85" s="8"/>
      <c r="I85" s="8"/>
      <c r="J85" s="12"/>
      <c r="K85" s="8"/>
      <c r="L85" s="8"/>
      <c r="M85" s="9" t="str">
        <f aca="false">IF(A85="","",IF(I85="","Sem código; ","")&amp;IF(G85="","Sem endereço; ","")&amp;IF(OR(C85="",E85=""),"Sem datas; ","")&amp;IF(AND(C85&lt;&gt;"",E85&lt;&gt;"",E85&lt;=C85),"Check-out antes do check-in; ",""))</f>
        <v/>
      </c>
    </row>
    <row r="86" customFormat="false" ht="15" hidden="false" customHeight="false" outlineLevel="0" collapsed="false">
      <c r="A86" s="8"/>
      <c r="B86" s="8"/>
      <c r="C86" s="7"/>
      <c r="D86" s="10"/>
      <c r="E86" s="7"/>
      <c r="F86" s="10"/>
      <c r="G86" s="8"/>
      <c r="H86" s="8"/>
      <c r="I86" s="8"/>
      <c r="J86" s="12"/>
      <c r="K86" s="8"/>
      <c r="L86" s="8"/>
      <c r="M86" s="9" t="str">
        <f aca="false">IF(A86="","",IF(I86="","Sem código; ","")&amp;IF(G86="","Sem endereço; ","")&amp;IF(OR(C86="",E86=""),"Sem datas; ","")&amp;IF(AND(C86&lt;&gt;"",E86&lt;&gt;"",E86&lt;=C86),"Check-out antes do check-in; ",""))</f>
        <v/>
      </c>
    </row>
    <row r="87" customFormat="false" ht="15" hidden="false" customHeight="false" outlineLevel="0" collapsed="false">
      <c r="A87" s="8"/>
      <c r="B87" s="8"/>
      <c r="C87" s="7"/>
      <c r="D87" s="10"/>
      <c r="E87" s="7"/>
      <c r="F87" s="10"/>
      <c r="G87" s="8"/>
      <c r="H87" s="8"/>
      <c r="I87" s="8"/>
      <c r="J87" s="12"/>
      <c r="K87" s="8"/>
      <c r="L87" s="8"/>
      <c r="M87" s="9" t="str">
        <f aca="false">IF(A87="","",IF(I87="","Sem código; ","")&amp;IF(G87="","Sem endereço; ","")&amp;IF(OR(C87="",E87=""),"Sem datas; ","")&amp;IF(AND(C87&lt;&gt;"",E87&lt;&gt;"",E87&lt;=C87),"Check-out antes do check-in; ",""))</f>
        <v/>
      </c>
    </row>
    <row r="88" customFormat="false" ht="15" hidden="false" customHeight="false" outlineLevel="0" collapsed="false">
      <c r="A88" s="8"/>
      <c r="B88" s="8"/>
      <c r="C88" s="7"/>
      <c r="D88" s="10"/>
      <c r="E88" s="7"/>
      <c r="F88" s="10"/>
      <c r="G88" s="8"/>
      <c r="H88" s="8"/>
      <c r="I88" s="8"/>
      <c r="J88" s="12"/>
      <c r="K88" s="8"/>
      <c r="L88" s="8"/>
      <c r="M88" s="9" t="str">
        <f aca="false">IF(A88="","",IF(I88="","Sem código; ","")&amp;IF(G88="","Sem endereço; ","")&amp;IF(OR(C88="",E88=""),"Sem datas; ","")&amp;IF(AND(C88&lt;&gt;"",E88&lt;&gt;"",E88&lt;=C88),"Check-out antes do check-in; ",""))</f>
        <v/>
      </c>
    </row>
    <row r="89" customFormat="false" ht="15" hidden="false" customHeight="false" outlineLevel="0" collapsed="false">
      <c r="A89" s="8"/>
      <c r="B89" s="8"/>
      <c r="C89" s="7"/>
      <c r="D89" s="10"/>
      <c r="E89" s="7"/>
      <c r="F89" s="10"/>
      <c r="G89" s="8"/>
      <c r="H89" s="8"/>
      <c r="I89" s="8"/>
      <c r="J89" s="12"/>
      <c r="K89" s="8"/>
      <c r="L89" s="8"/>
      <c r="M89" s="9" t="str">
        <f aca="false">IF(A89="","",IF(I89="","Sem código; ","")&amp;IF(G89="","Sem endereço; ","")&amp;IF(OR(C89="",E89=""),"Sem datas; ","")&amp;IF(AND(C89&lt;&gt;"",E89&lt;&gt;"",E89&lt;=C89),"Check-out antes do check-in; ",""))</f>
        <v/>
      </c>
    </row>
    <row r="90" customFormat="false" ht="15" hidden="false" customHeight="false" outlineLevel="0" collapsed="false">
      <c r="A90" s="8"/>
      <c r="B90" s="8"/>
      <c r="C90" s="7"/>
      <c r="D90" s="10"/>
      <c r="E90" s="7"/>
      <c r="F90" s="10"/>
      <c r="G90" s="8"/>
      <c r="H90" s="8"/>
      <c r="I90" s="8"/>
      <c r="J90" s="12"/>
      <c r="K90" s="8"/>
      <c r="L90" s="8"/>
      <c r="M90" s="9" t="str">
        <f aca="false">IF(A90="","",IF(I90="","Sem código; ","")&amp;IF(G90="","Sem endereço; ","")&amp;IF(OR(C90="",E90=""),"Sem datas; ","")&amp;IF(AND(C90&lt;&gt;"",E90&lt;&gt;"",E90&lt;=C90),"Check-out antes do check-in; ",""))</f>
        <v/>
      </c>
    </row>
    <row r="91" customFormat="false" ht="15" hidden="false" customHeight="false" outlineLevel="0" collapsed="false">
      <c r="A91" s="8"/>
      <c r="B91" s="8"/>
      <c r="C91" s="7"/>
      <c r="D91" s="10"/>
      <c r="E91" s="7"/>
      <c r="F91" s="10"/>
      <c r="G91" s="8"/>
      <c r="H91" s="8"/>
      <c r="I91" s="8"/>
      <c r="J91" s="12"/>
      <c r="K91" s="8"/>
      <c r="L91" s="8"/>
      <c r="M91" s="9" t="str">
        <f aca="false">IF(A91="","",IF(I91="","Sem código; ","")&amp;IF(G91="","Sem endereço; ","")&amp;IF(OR(C91="",E91=""),"Sem datas; ","")&amp;IF(AND(C91&lt;&gt;"",E91&lt;&gt;"",E91&lt;=C91),"Check-out antes do check-in; ",""))</f>
        <v/>
      </c>
    </row>
    <row r="92" customFormat="false" ht="15" hidden="false" customHeight="false" outlineLevel="0" collapsed="false">
      <c r="A92" s="8"/>
      <c r="B92" s="8"/>
      <c r="C92" s="7"/>
      <c r="D92" s="10"/>
      <c r="E92" s="7"/>
      <c r="F92" s="10"/>
      <c r="G92" s="8"/>
      <c r="H92" s="8"/>
      <c r="I92" s="8"/>
      <c r="J92" s="12"/>
      <c r="K92" s="8"/>
      <c r="L92" s="8"/>
      <c r="M92" s="9" t="str">
        <f aca="false">IF(A92="","",IF(I92="","Sem código; ","")&amp;IF(G92="","Sem endereço; ","")&amp;IF(OR(C92="",E92=""),"Sem datas; ","")&amp;IF(AND(C92&lt;&gt;"",E92&lt;&gt;"",E92&lt;=C92),"Check-out antes do check-in; ",""))</f>
        <v/>
      </c>
    </row>
    <row r="93" customFormat="false" ht="15" hidden="false" customHeight="false" outlineLevel="0" collapsed="false">
      <c r="A93" s="8"/>
      <c r="B93" s="8"/>
      <c r="C93" s="7"/>
      <c r="D93" s="10"/>
      <c r="E93" s="7"/>
      <c r="F93" s="10"/>
      <c r="G93" s="8"/>
      <c r="H93" s="8"/>
      <c r="I93" s="8"/>
      <c r="J93" s="12"/>
      <c r="K93" s="8"/>
      <c r="L93" s="8"/>
      <c r="M93" s="9" t="str">
        <f aca="false">IF(A93="","",IF(I93="","Sem código; ","")&amp;IF(G93="","Sem endereço; ","")&amp;IF(OR(C93="",E93=""),"Sem datas; ","")&amp;IF(AND(C93&lt;&gt;"",E93&lt;&gt;"",E93&lt;=C93),"Check-out antes do check-in; ",""))</f>
        <v/>
      </c>
    </row>
    <row r="94" customFormat="false" ht="15" hidden="false" customHeight="false" outlineLevel="0" collapsed="false">
      <c r="A94" s="8"/>
      <c r="B94" s="8"/>
      <c r="C94" s="7"/>
      <c r="D94" s="10"/>
      <c r="E94" s="7"/>
      <c r="F94" s="10"/>
      <c r="G94" s="8"/>
      <c r="H94" s="8"/>
      <c r="I94" s="8"/>
      <c r="J94" s="12"/>
      <c r="K94" s="8"/>
      <c r="L94" s="8"/>
      <c r="M94" s="9" t="str">
        <f aca="false">IF(A94="","",IF(I94="","Sem código; ","")&amp;IF(G94="","Sem endereço; ","")&amp;IF(OR(C94="",E94=""),"Sem datas; ","")&amp;IF(AND(C94&lt;&gt;"",E94&lt;&gt;"",E94&lt;=C94),"Check-out antes do check-in; ",""))</f>
        <v/>
      </c>
    </row>
    <row r="95" customFormat="false" ht="15" hidden="false" customHeight="false" outlineLevel="0" collapsed="false">
      <c r="A95" s="8"/>
      <c r="B95" s="8"/>
      <c r="C95" s="7"/>
      <c r="D95" s="10"/>
      <c r="E95" s="7"/>
      <c r="F95" s="10"/>
      <c r="G95" s="8"/>
      <c r="H95" s="8"/>
      <c r="I95" s="8"/>
      <c r="J95" s="12"/>
      <c r="K95" s="8"/>
      <c r="L95" s="8"/>
      <c r="M95" s="9" t="str">
        <f aca="false">IF(A95="","",IF(I95="","Sem código; ","")&amp;IF(G95="","Sem endereço; ","")&amp;IF(OR(C95="",E95=""),"Sem datas; ","")&amp;IF(AND(C95&lt;&gt;"",E95&lt;&gt;"",E95&lt;=C95),"Check-out antes do check-in; ",""))</f>
        <v/>
      </c>
    </row>
    <row r="96" customFormat="false" ht="15" hidden="false" customHeight="false" outlineLevel="0" collapsed="false">
      <c r="A96" s="8"/>
      <c r="B96" s="8"/>
      <c r="C96" s="7"/>
      <c r="D96" s="10"/>
      <c r="E96" s="7"/>
      <c r="F96" s="10"/>
      <c r="G96" s="8"/>
      <c r="H96" s="8"/>
      <c r="I96" s="8"/>
      <c r="J96" s="12"/>
      <c r="K96" s="8"/>
      <c r="L96" s="8"/>
      <c r="M96" s="9" t="str">
        <f aca="false">IF(A96="","",IF(I96="","Sem código; ","")&amp;IF(G96="","Sem endereço; ","")&amp;IF(OR(C96="",E96=""),"Sem datas; ","")&amp;IF(AND(C96&lt;&gt;"",E96&lt;&gt;"",E96&lt;=C96),"Check-out antes do check-in; ",""))</f>
        <v/>
      </c>
    </row>
    <row r="97" customFormat="false" ht="15" hidden="false" customHeight="false" outlineLevel="0" collapsed="false">
      <c r="A97" s="8"/>
      <c r="B97" s="8"/>
      <c r="C97" s="7"/>
      <c r="D97" s="10"/>
      <c r="E97" s="7"/>
      <c r="F97" s="10"/>
      <c r="G97" s="8"/>
      <c r="H97" s="8"/>
      <c r="I97" s="8"/>
      <c r="J97" s="12"/>
      <c r="K97" s="8"/>
      <c r="L97" s="8"/>
      <c r="M97" s="9" t="str">
        <f aca="false">IF(A97="","",IF(I97="","Sem código; ","")&amp;IF(G97="","Sem endereço; ","")&amp;IF(OR(C97="",E97=""),"Sem datas; ","")&amp;IF(AND(C97&lt;&gt;"",E97&lt;&gt;"",E97&lt;=C97),"Check-out antes do check-in; ",""))</f>
        <v/>
      </c>
    </row>
    <row r="98" customFormat="false" ht="15" hidden="false" customHeight="false" outlineLevel="0" collapsed="false">
      <c r="A98" s="8"/>
      <c r="B98" s="8"/>
      <c r="C98" s="7"/>
      <c r="D98" s="10"/>
      <c r="E98" s="7"/>
      <c r="F98" s="10"/>
      <c r="G98" s="8"/>
      <c r="H98" s="8"/>
      <c r="I98" s="8"/>
      <c r="J98" s="12"/>
      <c r="K98" s="8"/>
      <c r="L98" s="8"/>
      <c r="M98" s="9" t="str">
        <f aca="false">IF(A98="","",IF(I98="","Sem código; ","")&amp;IF(G98="","Sem endereço; ","")&amp;IF(OR(C98="",E98=""),"Sem datas; ","")&amp;IF(AND(C98&lt;&gt;"",E98&lt;&gt;"",E98&lt;=C98),"Check-out antes do check-in; ",""))</f>
        <v/>
      </c>
    </row>
    <row r="99" customFormat="false" ht="15" hidden="false" customHeight="false" outlineLevel="0" collapsed="false">
      <c r="A99" s="8"/>
      <c r="B99" s="8"/>
      <c r="C99" s="7"/>
      <c r="D99" s="10"/>
      <c r="E99" s="7"/>
      <c r="F99" s="10"/>
      <c r="G99" s="8"/>
      <c r="H99" s="8"/>
      <c r="I99" s="8"/>
      <c r="J99" s="12"/>
      <c r="K99" s="8"/>
      <c r="L99" s="8"/>
      <c r="M99" s="9" t="str">
        <f aca="false">IF(A99="","",IF(I99="","Sem código; ","")&amp;IF(G99="","Sem endereço; ","")&amp;IF(OR(C99="",E99=""),"Sem datas; ","")&amp;IF(AND(C99&lt;&gt;"",E99&lt;&gt;"",E99&lt;=C99),"Check-out antes do check-in; ",""))</f>
        <v/>
      </c>
    </row>
    <row r="100" customFormat="false" ht="15" hidden="false" customHeight="false" outlineLevel="0" collapsed="false">
      <c r="A100" s="8"/>
      <c r="B100" s="8"/>
      <c r="C100" s="7"/>
      <c r="D100" s="10"/>
      <c r="E100" s="7"/>
      <c r="F100" s="10"/>
      <c r="G100" s="8"/>
      <c r="H100" s="8"/>
      <c r="I100" s="8"/>
      <c r="J100" s="12"/>
      <c r="K100" s="8"/>
      <c r="L100" s="8"/>
      <c r="M100" s="9" t="str">
        <f aca="false">IF(A100="","",IF(I100="","Sem código; ","")&amp;IF(G100="","Sem endereço; ","")&amp;IF(OR(C100="",E100=""),"Sem datas; ","")&amp;IF(AND(C100&lt;&gt;"",E100&lt;&gt;"",E100&lt;=C100),"Check-out antes do check-in; ",""))</f>
        <v/>
      </c>
    </row>
    <row r="101" customFormat="false" ht="15" hidden="false" customHeight="false" outlineLevel="0" collapsed="false">
      <c r="A101" s="8"/>
      <c r="B101" s="8"/>
      <c r="C101" s="7"/>
      <c r="D101" s="10"/>
      <c r="E101" s="7"/>
      <c r="F101" s="10"/>
      <c r="G101" s="8"/>
      <c r="H101" s="8"/>
      <c r="I101" s="8"/>
      <c r="J101" s="12"/>
      <c r="K101" s="8"/>
      <c r="L101" s="8"/>
      <c r="M101" s="9" t="str">
        <f aca="false">IF(A101="","",IF(I101="","Sem código; ","")&amp;IF(G101="","Sem endereço; ","")&amp;IF(OR(C101="",E101=""),"Sem datas; ","")&amp;IF(AND(C101&lt;&gt;"",E101&lt;&gt;"",E101&lt;=C101),"Check-out antes do check-in; ",""))</f>
        <v/>
      </c>
    </row>
    <row r="102" customFormat="false" ht="15" hidden="false" customHeight="false" outlineLevel="0" collapsed="false">
      <c r="A102" s="8"/>
      <c r="B102" s="8"/>
      <c r="C102" s="7"/>
      <c r="D102" s="10"/>
      <c r="E102" s="7"/>
      <c r="F102" s="10"/>
      <c r="G102" s="8"/>
      <c r="H102" s="8"/>
      <c r="I102" s="8"/>
      <c r="J102" s="12"/>
      <c r="K102" s="8"/>
      <c r="L102" s="8"/>
      <c r="M102" s="9" t="str">
        <f aca="false">IF(A102="","",IF(I102="","Sem código; ","")&amp;IF(G102="","Sem endereço; ","")&amp;IF(OR(C102="",E102=""),"Sem datas; ","")&amp;IF(AND(C102&lt;&gt;"",E102&lt;&gt;"",E102&lt;=C102),"Check-out antes do check-in; ",""))</f>
        <v/>
      </c>
    </row>
    <row r="103" customFormat="false" ht="15" hidden="false" customHeight="false" outlineLevel="0" collapsed="false">
      <c r="A103" s="8"/>
      <c r="B103" s="8"/>
      <c r="C103" s="7"/>
      <c r="D103" s="10"/>
      <c r="E103" s="7"/>
      <c r="F103" s="10"/>
      <c r="G103" s="8"/>
      <c r="H103" s="8"/>
      <c r="I103" s="8"/>
      <c r="J103" s="12"/>
      <c r="K103" s="8"/>
      <c r="L103" s="8"/>
      <c r="M103" s="9" t="str">
        <f aca="false">IF(A103="","",IF(I103="","Sem código; ","")&amp;IF(G103="","Sem endereço; ","")&amp;IF(OR(C103="",E103=""),"Sem datas; ","")&amp;IF(AND(C103&lt;&gt;"",E103&lt;&gt;"",E103&lt;=C103),"Check-out antes do check-in; ",""))</f>
        <v/>
      </c>
    </row>
    <row r="104" customFormat="false" ht="15" hidden="false" customHeight="false" outlineLevel="0" collapsed="false">
      <c r="A104" s="8"/>
      <c r="B104" s="8"/>
      <c r="C104" s="7"/>
      <c r="D104" s="10"/>
      <c r="E104" s="7"/>
      <c r="F104" s="10"/>
      <c r="G104" s="8"/>
      <c r="H104" s="8"/>
      <c r="I104" s="8"/>
      <c r="J104" s="12"/>
      <c r="K104" s="8"/>
      <c r="L104" s="8"/>
      <c r="M104" s="9" t="str">
        <f aca="false">IF(A104="","",IF(I104="","Sem código; ","")&amp;IF(G104="","Sem endereço; ","")&amp;IF(OR(C104="",E104=""),"Sem datas; ","")&amp;IF(AND(C104&lt;&gt;"",E104&lt;&gt;"",E104&lt;=C104),"Check-out antes do check-in; ",""))</f>
        <v/>
      </c>
    </row>
    <row r="105" customFormat="false" ht="15" hidden="false" customHeight="false" outlineLevel="0" collapsed="false">
      <c r="A105" s="8"/>
      <c r="B105" s="8"/>
      <c r="C105" s="7"/>
      <c r="D105" s="10"/>
      <c r="E105" s="7"/>
      <c r="F105" s="10"/>
      <c r="G105" s="8"/>
      <c r="H105" s="8"/>
      <c r="I105" s="8"/>
      <c r="J105" s="12"/>
      <c r="K105" s="8"/>
      <c r="L105" s="8"/>
      <c r="M105" s="9" t="str">
        <f aca="false">IF(A105="","",IF(I105="","Sem código; ","")&amp;IF(G105="","Sem endereço; ","")&amp;IF(OR(C105="",E105=""),"Sem datas; ","")&amp;IF(AND(C105&lt;&gt;"",E105&lt;&gt;"",E105&lt;=C105),"Check-out antes do check-in; ",""))</f>
        <v/>
      </c>
    </row>
    <row r="106" customFormat="false" ht="15" hidden="false" customHeight="false" outlineLevel="0" collapsed="false">
      <c r="A106" s="8"/>
      <c r="B106" s="8"/>
      <c r="C106" s="7"/>
      <c r="D106" s="10"/>
      <c r="E106" s="7"/>
      <c r="F106" s="10"/>
      <c r="G106" s="8"/>
      <c r="H106" s="8"/>
      <c r="I106" s="8"/>
      <c r="J106" s="12"/>
      <c r="K106" s="8"/>
      <c r="L106" s="8"/>
      <c r="M106" s="9" t="str">
        <f aca="false">IF(A106="","",IF(I106="","Sem código; ","")&amp;IF(G106="","Sem endereço; ","")&amp;IF(OR(C106="",E106=""),"Sem datas; ","")&amp;IF(AND(C106&lt;&gt;"",E106&lt;&gt;"",E106&lt;=C106),"Check-out antes do check-in; ",""))</f>
        <v/>
      </c>
    </row>
    <row r="107" customFormat="false" ht="15" hidden="false" customHeight="false" outlineLevel="0" collapsed="false">
      <c r="A107" s="8"/>
      <c r="B107" s="8"/>
      <c r="C107" s="7"/>
      <c r="D107" s="10"/>
      <c r="E107" s="7"/>
      <c r="F107" s="10"/>
      <c r="G107" s="8"/>
      <c r="H107" s="8"/>
      <c r="I107" s="8"/>
      <c r="J107" s="12"/>
      <c r="K107" s="8"/>
      <c r="L107" s="8"/>
      <c r="M107" s="9" t="str">
        <f aca="false">IF(A107="","",IF(I107="","Sem código; ","")&amp;IF(G107="","Sem endereço; ","")&amp;IF(OR(C107="",E107=""),"Sem datas; ","")&amp;IF(AND(C107&lt;&gt;"",E107&lt;&gt;"",E107&lt;=C107),"Check-out antes do check-in; ",""))</f>
        <v/>
      </c>
    </row>
    <row r="108" customFormat="false" ht="15" hidden="false" customHeight="false" outlineLevel="0" collapsed="false">
      <c r="A108" s="8"/>
      <c r="B108" s="8"/>
      <c r="C108" s="7"/>
      <c r="D108" s="10"/>
      <c r="E108" s="7"/>
      <c r="F108" s="10"/>
      <c r="G108" s="8"/>
      <c r="H108" s="8"/>
      <c r="I108" s="8"/>
      <c r="J108" s="12"/>
      <c r="K108" s="8"/>
      <c r="L108" s="8"/>
      <c r="M108" s="9" t="str">
        <f aca="false">IF(A108="","",IF(I108="","Sem código; ","")&amp;IF(G108="","Sem endereço; ","")&amp;IF(OR(C108="",E108=""),"Sem datas; ","")&amp;IF(AND(C108&lt;&gt;"",E108&lt;&gt;"",E108&lt;=C108),"Check-out antes do check-in; ",""))</f>
        <v/>
      </c>
    </row>
    <row r="109" customFormat="false" ht="15" hidden="false" customHeight="false" outlineLevel="0" collapsed="false">
      <c r="A109" s="8"/>
      <c r="B109" s="8"/>
      <c r="C109" s="7"/>
      <c r="D109" s="10"/>
      <c r="E109" s="7"/>
      <c r="F109" s="10"/>
      <c r="G109" s="8"/>
      <c r="H109" s="8"/>
      <c r="I109" s="8"/>
      <c r="J109" s="12"/>
      <c r="K109" s="8"/>
      <c r="L109" s="8"/>
      <c r="M109" s="9" t="str">
        <f aca="false">IF(A109="","",IF(I109="","Sem código; ","")&amp;IF(G109="","Sem endereço; ","")&amp;IF(OR(C109="",E109=""),"Sem datas; ","")&amp;IF(AND(C109&lt;&gt;"",E109&lt;&gt;"",E109&lt;=C109),"Check-out antes do check-in; ",""))</f>
        <v/>
      </c>
    </row>
    <row r="110" customFormat="false" ht="15" hidden="false" customHeight="false" outlineLevel="0" collapsed="false">
      <c r="A110" s="8"/>
      <c r="B110" s="8"/>
      <c r="C110" s="7"/>
      <c r="D110" s="10"/>
      <c r="E110" s="7"/>
      <c r="F110" s="10"/>
      <c r="G110" s="8"/>
      <c r="H110" s="8"/>
      <c r="I110" s="8"/>
      <c r="J110" s="12"/>
      <c r="K110" s="8"/>
      <c r="L110" s="8"/>
      <c r="M110" s="9" t="str">
        <f aca="false">IF(A110="","",IF(I110="","Sem código; ","")&amp;IF(G110="","Sem endereço; ","")&amp;IF(OR(C110="",E110=""),"Sem datas; ","")&amp;IF(AND(C110&lt;&gt;"",E110&lt;&gt;"",E110&lt;=C110),"Check-out antes do check-in; ",""))</f>
        <v/>
      </c>
    </row>
    <row r="111" customFormat="false" ht="15" hidden="false" customHeight="false" outlineLevel="0" collapsed="false">
      <c r="A111" s="8"/>
      <c r="B111" s="8"/>
      <c r="C111" s="7"/>
      <c r="D111" s="10"/>
      <c r="E111" s="7"/>
      <c r="F111" s="10"/>
      <c r="G111" s="8"/>
      <c r="H111" s="8"/>
      <c r="I111" s="8"/>
      <c r="J111" s="12"/>
      <c r="K111" s="8"/>
      <c r="L111" s="8"/>
      <c r="M111" s="9" t="str">
        <f aca="false">IF(A111="","",IF(I111="","Sem código; ","")&amp;IF(G111="","Sem endereço; ","")&amp;IF(OR(C111="",E111=""),"Sem datas; ","")&amp;IF(AND(C111&lt;&gt;"",E111&lt;&gt;"",E111&lt;=C111),"Check-out antes do check-in; ",""))</f>
        <v/>
      </c>
    </row>
    <row r="112" customFormat="false" ht="15" hidden="false" customHeight="false" outlineLevel="0" collapsed="false">
      <c r="A112" s="8"/>
      <c r="B112" s="8"/>
      <c r="C112" s="7"/>
      <c r="D112" s="10"/>
      <c r="E112" s="7"/>
      <c r="F112" s="10"/>
      <c r="G112" s="8"/>
      <c r="H112" s="8"/>
      <c r="I112" s="8"/>
      <c r="J112" s="12"/>
      <c r="K112" s="8"/>
      <c r="L112" s="8"/>
      <c r="M112" s="9" t="str">
        <f aca="false">IF(A112="","",IF(I112="","Sem código; ","")&amp;IF(G112="","Sem endereço; ","")&amp;IF(OR(C112="",E112=""),"Sem datas; ","")&amp;IF(AND(C112&lt;&gt;"",E112&lt;&gt;"",E112&lt;=C112),"Check-out antes do check-in; ",""))</f>
        <v/>
      </c>
    </row>
    <row r="113" customFormat="false" ht="15" hidden="false" customHeight="false" outlineLevel="0" collapsed="false">
      <c r="A113" s="8"/>
      <c r="B113" s="8"/>
      <c r="C113" s="7"/>
      <c r="D113" s="10"/>
      <c r="E113" s="7"/>
      <c r="F113" s="10"/>
      <c r="G113" s="8"/>
      <c r="H113" s="8"/>
      <c r="I113" s="8"/>
      <c r="J113" s="12"/>
      <c r="K113" s="8"/>
      <c r="L113" s="8"/>
      <c r="M113" s="9" t="str">
        <f aca="false">IF(A113="","",IF(I113="","Sem código; ","")&amp;IF(G113="","Sem endereço; ","")&amp;IF(OR(C113="",E113=""),"Sem datas; ","")&amp;IF(AND(C113&lt;&gt;"",E113&lt;&gt;"",E113&lt;=C113),"Check-out antes do check-in; ",""))</f>
        <v/>
      </c>
    </row>
    <row r="114" customFormat="false" ht="15" hidden="false" customHeight="false" outlineLevel="0" collapsed="false">
      <c r="A114" s="8"/>
      <c r="B114" s="8"/>
      <c r="C114" s="7"/>
      <c r="D114" s="10"/>
      <c r="E114" s="7"/>
      <c r="F114" s="10"/>
      <c r="G114" s="8"/>
      <c r="H114" s="8"/>
      <c r="I114" s="8"/>
      <c r="J114" s="12"/>
      <c r="K114" s="8"/>
      <c r="L114" s="8"/>
      <c r="M114" s="9" t="str">
        <f aca="false">IF(A114="","",IF(I114="","Sem código; ","")&amp;IF(G114="","Sem endereço; ","")&amp;IF(OR(C114="",E114=""),"Sem datas; ","")&amp;IF(AND(C114&lt;&gt;"",E114&lt;&gt;"",E114&lt;=C114),"Check-out antes do check-in; ",""))</f>
        <v/>
      </c>
    </row>
    <row r="115" customFormat="false" ht="15" hidden="false" customHeight="false" outlineLevel="0" collapsed="false">
      <c r="A115" s="8"/>
      <c r="B115" s="8"/>
      <c r="C115" s="7"/>
      <c r="D115" s="10"/>
      <c r="E115" s="7"/>
      <c r="F115" s="10"/>
      <c r="G115" s="8"/>
      <c r="H115" s="8"/>
      <c r="I115" s="8"/>
      <c r="J115" s="12"/>
      <c r="K115" s="8"/>
      <c r="L115" s="8"/>
      <c r="M115" s="9" t="str">
        <f aca="false">IF(A115="","",IF(I115="","Sem código; ","")&amp;IF(G115="","Sem endereço; ","")&amp;IF(OR(C115="",E115=""),"Sem datas; ","")&amp;IF(AND(C115&lt;&gt;"",E115&lt;&gt;"",E115&lt;=C115),"Check-out antes do check-in; ",""))</f>
        <v/>
      </c>
    </row>
    <row r="116" customFormat="false" ht="15" hidden="false" customHeight="false" outlineLevel="0" collapsed="false">
      <c r="A116" s="8"/>
      <c r="B116" s="8"/>
      <c r="C116" s="7"/>
      <c r="D116" s="10"/>
      <c r="E116" s="7"/>
      <c r="F116" s="10"/>
      <c r="G116" s="8"/>
      <c r="H116" s="8"/>
      <c r="I116" s="8"/>
      <c r="J116" s="12"/>
      <c r="K116" s="8"/>
      <c r="L116" s="8"/>
      <c r="M116" s="9" t="str">
        <f aca="false">IF(A116="","",IF(I116="","Sem código; ","")&amp;IF(G116="","Sem endereço; ","")&amp;IF(OR(C116="",E116=""),"Sem datas; ","")&amp;IF(AND(C116&lt;&gt;"",E116&lt;&gt;"",E116&lt;=C116),"Check-out antes do check-in; ",""))</f>
        <v/>
      </c>
    </row>
    <row r="117" customFormat="false" ht="15" hidden="false" customHeight="false" outlineLevel="0" collapsed="false">
      <c r="A117" s="8"/>
      <c r="B117" s="8"/>
      <c r="C117" s="7"/>
      <c r="D117" s="10"/>
      <c r="E117" s="7"/>
      <c r="F117" s="10"/>
      <c r="G117" s="8"/>
      <c r="H117" s="8"/>
      <c r="I117" s="8"/>
      <c r="J117" s="12"/>
      <c r="K117" s="8"/>
      <c r="L117" s="8"/>
      <c r="M117" s="9" t="str">
        <f aca="false">IF(A117="","",IF(I117="","Sem código; ","")&amp;IF(G117="","Sem endereço; ","")&amp;IF(OR(C117="",E117=""),"Sem datas; ","")&amp;IF(AND(C117&lt;&gt;"",E117&lt;&gt;"",E117&lt;=C117),"Check-out antes do check-in; ",""))</f>
        <v/>
      </c>
    </row>
    <row r="118" customFormat="false" ht="15" hidden="false" customHeight="false" outlineLevel="0" collapsed="false">
      <c r="A118" s="8"/>
      <c r="B118" s="8"/>
      <c r="C118" s="7"/>
      <c r="D118" s="10"/>
      <c r="E118" s="7"/>
      <c r="F118" s="10"/>
      <c r="G118" s="8"/>
      <c r="H118" s="8"/>
      <c r="I118" s="8"/>
      <c r="J118" s="12"/>
      <c r="K118" s="8"/>
      <c r="L118" s="8"/>
      <c r="M118" s="9" t="str">
        <f aca="false">IF(A118="","",IF(I118="","Sem código; ","")&amp;IF(G118="","Sem endereço; ","")&amp;IF(OR(C118="",E118=""),"Sem datas; ","")&amp;IF(AND(C118&lt;&gt;"",E118&lt;&gt;"",E118&lt;=C118),"Check-out antes do check-in; ",""))</f>
        <v/>
      </c>
    </row>
    <row r="119" customFormat="false" ht="15" hidden="false" customHeight="false" outlineLevel="0" collapsed="false">
      <c r="A119" s="8"/>
      <c r="B119" s="8"/>
      <c r="C119" s="7"/>
      <c r="D119" s="10"/>
      <c r="E119" s="7"/>
      <c r="F119" s="10"/>
      <c r="G119" s="8"/>
      <c r="H119" s="8"/>
      <c r="I119" s="8"/>
      <c r="J119" s="12"/>
      <c r="K119" s="8"/>
      <c r="L119" s="8"/>
      <c r="M119" s="9" t="str">
        <f aca="false">IF(A119="","",IF(I119="","Sem código; ","")&amp;IF(G119="","Sem endereço; ","")&amp;IF(OR(C119="",E119=""),"Sem datas; ","")&amp;IF(AND(C119&lt;&gt;"",E119&lt;&gt;"",E119&lt;=C119),"Check-out antes do check-in; ",""))</f>
        <v/>
      </c>
    </row>
    <row r="120" customFormat="false" ht="15" hidden="false" customHeight="false" outlineLevel="0" collapsed="false">
      <c r="A120" s="8"/>
      <c r="B120" s="8"/>
      <c r="C120" s="7"/>
      <c r="D120" s="10"/>
      <c r="E120" s="7"/>
      <c r="F120" s="10"/>
      <c r="G120" s="8"/>
      <c r="H120" s="8"/>
      <c r="I120" s="8"/>
      <c r="J120" s="12"/>
      <c r="K120" s="8"/>
      <c r="L120" s="8"/>
      <c r="M120" s="9" t="str">
        <f aca="false">IF(A120="","",IF(I120="","Sem código; ","")&amp;IF(G120="","Sem endereço; ","")&amp;IF(OR(C120="",E120=""),"Sem datas; ","")&amp;IF(AND(C120&lt;&gt;"",E120&lt;&gt;"",E120&lt;=C120),"Check-out antes do check-in; ",""))</f>
        <v/>
      </c>
    </row>
    <row r="121" customFormat="false" ht="15" hidden="false" customHeight="false" outlineLevel="0" collapsed="false">
      <c r="A121" s="8"/>
      <c r="B121" s="8"/>
      <c r="C121" s="7"/>
      <c r="D121" s="10"/>
      <c r="E121" s="7"/>
      <c r="F121" s="10"/>
      <c r="G121" s="8"/>
      <c r="H121" s="8"/>
      <c r="I121" s="8"/>
      <c r="J121" s="12"/>
      <c r="K121" s="8"/>
      <c r="L121" s="8"/>
      <c r="M121" s="9" t="str">
        <f aca="false">IF(A121="","",IF(I121="","Sem código; ","")&amp;IF(G121="","Sem endereço; ","")&amp;IF(OR(C121="",E121=""),"Sem datas; ","")&amp;IF(AND(C121&lt;&gt;"",E121&lt;&gt;"",E121&lt;=C121),"Check-out antes do check-in; ",""))</f>
        <v/>
      </c>
    </row>
    <row r="122" customFormat="false" ht="15" hidden="false" customHeight="false" outlineLevel="0" collapsed="false">
      <c r="A122" s="8"/>
      <c r="B122" s="8"/>
      <c r="C122" s="7"/>
      <c r="D122" s="10"/>
      <c r="E122" s="7"/>
      <c r="F122" s="10"/>
      <c r="G122" s="8"/>
      <c r="H122" s="8"/>
      <c r="I122" s="8"/>
      <c r="J122" s="12"/>
      <c r="K122" s="8"/>
      <c r="L122" s="8"/>
      <c r="M122" s="9" t="str">
        <f aca="false">IF(A122="","",IF(I122="","Sem código; ","")&amp;IF(G122="","Sem endereço; ","")&amp;IF(OR(C122="",E122=""),"Sem datas; ","")&amp;IF(AND(C122&lt;&gt;"",E122&lt;&gt;"",E122&lt;=C122),"Check-out antes do check-in; ",""))</f>
        <v/>
      </c>
    </row>
    <row r="123" customFormat="false" ht="15" hidden="false" customHeight="false" outlineLevel="0" collapsed="false">
      <c r="A123" s="8"/>
      <c r="B123" s="8"/>
      <c r="C123" s="7"/>
      <c r="D123" s="10"/>
      <c r="E123" s="7"/>
      <c r="F123" s="10"/>
      <c r="G123" s="8"/>
      <c r="H123" s="8"/>
      <c r="I123" s="8"/>
      <c r="J123" s="12"/>
      <c r="K123" s="8"/>
      <c r="L123" s="8"/>
      <c r="M123" s="9" t="str">
        <f aca="false">IF(A123="","",IF(I123="","Sem código; ","")&amp;IF(G123="","Sem endereço; ","")&amp;IF(OR(C123="",E123=""),"Sem datas; ","")&amp;IF(AND(C123&lt;&gt;"",E123&lt;&gt;"",E123&lt;=C123),"Check-out antes do check-in; ",""))</f>
        <v/>
      </c>
    </row>
    <row r="124" customFormat="false" ht="15" hidden="false" customHeight="false" outlineLevel="0" collapsed="false">
      <c r="A124" s="8"/>
      <c r="B124" s="8"/>
      <c r="C124" s="7"/>
      <c r="D124" s="10"/>
      <c r="E124" s="7"/>
      <c r="F124" s="10"/>
      <c r="G124" s="8"/>
      <c r="H124" s="8"/>
      <c r="I124" s="8"/>
      <c r="J124" s="12"/>
      <c r="K124" s="8"/>
      <c r="L124" s="8"/>
      <c r="M124" s="9" t="str">
        <f aca="false">IF(A124="","",IF(I124="","Sem código; ","")&amp;IF(G124="","Sem endereço; ","")&amp;IF(OR(C124="",E124=""),"Sem datas; ","")&amp;IF(AND(C124&lt;&gt;"",E124&lt;&gt;"",E124&lt;=C124),"Check-out antes do check-in; ",""))</f>
        <v/>
      </c>
    </row>
    <row r="125" customFormat="false" ht="15" hidden="false" customHeight="false" outlineLevel="0" collapsed="false">
      <c r="A125" s="8"/>
      <c r="B125" s="8"/>
      <c r="C125" s="7"/>
      <c r="D125" s="10"/>
      <c r="E125" s="7"/>
      <c r="F125" s="10"/>
      <c r="G125" s="8"/>
      <c r="H125" s="8"/>
      <c r="I125" s="8"/>
      <c r="J125" s="12"/>
      <c r="K125" s="8"/>
      <c r="L125" s="8"/>
      <c r="M125" s="9" t="str">
        <f aca="false">IF(A125="","",IF(I125="","Sem código; ","")&amp;IF(G125="","Sem endereço; ","")&amp;IF(OR(C125="",E125=""),"Sem datas; ","")&amp;IF(AND(C125&lt;&gt;"",E125&lt;&gt;"",E125&lt;=C125),"Check-out antes do check-in; ",""))</f>
        <v/>
      </c>
    </row>
    <row r="126" customFormat="false" ht="15" hidden="false" customHeight="false" outlineLevel="0" collapsed="false">
      <c r="A126" s="8"/>
      <c r="B126" s="8"/>
      <c r="C126" s="7"/>
      <c r="D126" s="10"/>
      <c r="E126" s="7"/>
      <c r="F126" s="10"/>
      <c r="G126" s="8"/>
      <c r="H126" s="8"/>
      <c r="I126" s="8"/>
      <c r="J126" s="12"/>
      <c r="K126" s="8"/>
      <c r="L126" s="8"/>
      <c r="M126" s="9" t="str">
        <f aca="false">IF(A126="","",IF(I126="","Sem código; ","")&amp;IF(G126="","Sem endereço; ","")&amp;IF(OR(C126="",E126=""),"Sem datas; ","")&amp;IF(AND(C126&lt;&gt;"",E126&lt;&gt;"",E126&lt;=C126),"Check-out antes do check-in; ",""))</f>
        <v/>
      </c>
    </row>
    <row r="127" customFormat="false" ht="15" hidden="false" customHeight="false" outlineLevel="0" collapsed="false">
      <c r="A127" s="8"/>
      <c r="B127" s="8"/>
      <c r="C127" s="7"/>
      <c r="D127" s="10"/>
      <c r="E127" s="7"/>
      <c r="F127" s="10"/>
      <c r="G127" s="8"/>
      <c r="H127" s="8"/>
      <c r="I127" s="8"/>
      <c r="J127" s="12"/>
      <c r="K127" s="8"/>
      <c r="L127" s="8"/>
      <c r="M127" s="9" t="str">
        <f aca="false">IF(A127="","",IF(I127="","Sem código; ","")&amp;IF(G127="","Sem endereço; ","")&amp;IF(OR(C127="",E127=""),"Sem datas; ","")&amp;IF(AND(C127&lt;&gt;"",E127&lt;&gt;"",E127&lt;=C127),"Check-out antes do check-in; ",""))</f>
        <v/>
      </c>
    </row>
    <row r="128" customFormat="false" ht="15" hidden="false" customHeight="false" outlineLevel="0" collapsed="false">
      <c r="A128" s="8"/>
      <c r="B128" s="8"/>
      <c r="C128" s="7"/>
      <c r="D128" s="10"/>
      <c r="E128" s="7"/>
      <c r="F128" s="10"/>
      <c r="G128" s="8"/>
      <c r="H128" s="8"/>
      <c r="I128" s="8"/>
      <c r="J128" s="12"/>
      <c r="K128" s="8"/>
      <c r="L128" s="8"/>
      <c r="M128" s="9" t="str">
        <f aca="false">IF(A128="","",IF(I128="","Sem código; ","")&amp;IF(G128="","Sem endereço; ","")&amp;IF(OR(C128="",E128=""),"Sem datas; ","")&amp;IF(AND(C128&lt;&gt;"",E128&lt;&gt;"",E128&lt;=C128),"Check-out antes do check-in; ",""))</f>
        <v/>
      </c>
    </row>
    <row r="129" customFormat="false" ht="15" hidden="false" customHeight="false" outlineLevel="0" collapsed="false">
      <c r="A129" s="8"/>
      <c r="B129" s="8"/>
      <c r="C129" s="7"/>
      <c r="D129" s="10"/>
      <c r="E129" s="7"/>
      <c r="F129" s="10"/>
      <c r="G129" s="8"/>
      <c r="H129" s="8"/>
      <c r="I129" s="8"/>
      <c r="J129" s="12"/>
      <c r="K129" s="8"/>
      <c r="L129" s="8"/>
      <c r="M129" s="9" t="str">
        <f aca="false">IF(A129="","",IF(I129="","Sem código; ","")&amp;IF(G129="","Sem endereço; ","")&amp;IF(OR(C129="",E129=""),"Sem datas; ","")&amp;IF(AND(C129&lt;&gt;"",E129&lt;&gt;"",E129&lt;=C129),"Check-out antes do check-in; ",""))</f>
        <v/>
      </c>
    </row>
    <row r="130" customFormat="false" ht="15" hidden="false" customHeight="false" outlineLevel="0" collapsed="false">
      <c r="A130" s="8"/>
      <c r="B130" s="8"/>
      <c r="C130" s="7"/>
      <c r="D130" s="10"/>
      <c r="E130" s="7"/>
      <c r="F130" s="10"/>
      <c r="G130" s="8"/>
      <c r="H130" s="8"/>
      <c r="I130" s="8"/>
      <c r="J130" s="12"/>
      <c r="K130" s="8"/>
      <c r="L130" s="8"/>
      <c r="M130" s="9" t="str">
        <f aca="false">IF(A130="","",IF(I130="","Sem código; ","")&amp;IF(G130="","Sem endereço; ","")&amp;IF(OR(C130="",E130=""),"Sem datas; ","")&amp;IF(AND(C130&lt;&gt;"",E130&lt;&gt;"",E130&lt;=C130),"Check-out antes do check-in; ",""))</f>
        <v/>
      </c>
    </row>
    <row r="131" customFormat="false" ht="15" hidden="false" customHeight="false" outlineLevel="0" collapsed="false">
      <c r="A131" s="8"/>
      <c r="B131" s="8"/>
      <c r="C131" s="7"/>
      <c r="D131" s="10"/>
      <c r="E131" s="7"/>
      <c r="F131" s="10"/>
      <c r="G131" s="8"/>
      <c r="H131" s="8"/>
      <c r="I131" s="8"/>
      <c r="J131" s="12"/>
      <c r="K131" s="8"/>
      <c r="L131" s="8"/>
      <c r="M131" s="9" t="str">
        <f aca="false">IF(A131="","",IF(I131="","Sem código; ","")&amp;IF(G131="","Sem endereço; ","")&amp;IF(OR(C131="",E131=""),"Sem datas; ","")&amp;IF(AND(C131&lt;&gt;"",E131&lt;&gt;"",E131&lt;=C131),"Check-out antes do check-in; ",""))</f>
        <v/>
      </c>
    </row>
    <row r="132" customFormat="false" ht="15" hidden="false" customHeight="false" outlineLevel="0" collapsed="false">
      <c r="A132" s="8"/>
      <c r="B132" s="8"/>
      <c r="C132" s="7"/>
      <c r="D132" s="10"/>
      <c r="E132" s="7"/>
      <c r="F132" s="10"/>
      <c r="G132" s="8"/>
      <c r="H132" s="8"/>
      <c r="I132" s="8"/>
      <c r="J132" s="12"/>
      <c r="K132" s="8"/>
      <c r="L132" s="8"/>
      <c r="M132" s="9" t="str">
        <f aca="false">IF(A132="","",IF(I132="","Sem código; ","")&amp;IF(G132="","Sem endereço; ","")&amp;IF(OR(C132="",E132=""),"Sem datas; ","")&amp;IF(AND(C132&lt;&gt;"",E132&lt;&gt;"",E132&lt;=C132),"Check-out antes do check-in; ",""))</f>
        <v/>
      </c>
    </row>
    <row r="133" customFormat="false" ht="15" hidden="false" customHeight="false" outlineLevel="0" collapsed="false">
      <c r="A133" s="8"/>
      <c r="B133" s="8"/>
      <c r="C133" s="7"/>
      <c r="D133" s="10"/>
      <c r="E133" s="7"/>
      <c r="F133" s="10"/>
      <c r="G133" s="8"/>
      <c r="H133" s="8"/>
      <c r="I133" s="8"/>
      <c r="J133" s="12"/>
      <c r="K133" s="8"/>
      <c r="L133" s="8"/>
      <c r="M133" s="9" t="str">
        <f aca="false">IF(A133="","",IF(I133="","Sem código; ","")&amp;IF(G133="","Sem endereço; ","")&amp;IF(OR(C133="",E133=""),"Sem datas; ","")&amp;IF(AND(C133&lt;&gt;"",E133&lt;&gt;"",E133&lt;=C133),"Check-out antes do check-in; ",""))</f>
        <v/>
      </c>
    </row>
    <row r="134" customFormat="false" ht="15" hidden="false" customHeight="false" outlineLevel="0" collapsed="false">
      <c r="A134" s="8"/>
      <c r="B134" s="8"/>
      <c r="C134" s="7"/>
      <c r="D134" s="10"/>
      <c r="E134" s="7"/>
      <c r="F134" s="10"/>
      <c r="G134" s="8"/>
      <c r="H134" s="8"/>
      <c r="I134" s="8"/>
      <c r="J134" s="12"/>
      <c r="K134" s="8"/>
      <c r="L134" s="8"/>
      <c r="M134" s="9" t="str">
        <f aca="false">IF(A134="","",IF(I134="","Sem código; ","")&amp;IF(G134="","Sem endereço; ","")&amp;IF(OR(C134="",E134=""),"Sem datas; ","")&amp;IF(AND(C134&lt;&gt;"",E134&lt;&gt;"",E134&lt;=C134),"Check-out antes do check-in; ",""))</f>
        <v/>
      </c>
    </row>
    <row r="135" customFormat="false" ht="15" hidden="false" customHeight="false" outlineLevel="0" collapsed="false">
      <c r="A135" s="8"/>
      <c r="B135" s="8"/>
      <c r="C135" s="7"/>
      <c r="D135" s="10"/>
      <c r="E135" s="7"/>
      <c r="F135" s="10"/>
      <c r="G135" s="8"/>
      <c r="H135" s="8"/>
      <c r="I135" s="8"/>
      <c r="J135" s="12"/>
      <c r="K135" s="8"/>
      <c r="L135" s="8"/>
      <c r="M135" s="9" t="str">
        <f aca="false">IF(A135="","",IF(I135="","Sem código; ","")&amp;IF(G135="","Sem endereço; ","")&amp;IF(OR(C135="",E135=""),"Sem datas; ","")&amp;IF(AND(C135&lt;&gt;"",E135&lt;&gt;"",E135&lt;=C135),"Check-out antes do check-in; ",""))</f>
        <v/>
      </c>
    </row>
    <row r="136" customFormat="false" ht="15" hidden="false" customHeight="false" outlineLevel="0" collapsed="false">
      <c r="A136" s="8"/>
      <c r="B136" s="8"/>
      <c r="C136" s="7"/>
      <c r="D136" s="10"/>
      <c r="E136" s="7"/>
      <c r="F136" s="10"/>
      <c r="G136" s="8"/>
      <c r="H136" s="8"/>
      <c r="I136" s="8"/>
      <c r="J136" s="12"/>
      <c r="K136" s="8"/>
      <c r="L136" s="8"/>
      <c r="M136" s="9" t="str">
        <f aca="false">IF(A136="","",IF(I136="","Sem código; ","")&amp;IF(G136="","Sem endereço; ","")&amp;IF(OR(C136="",E136=""),"Sem datas; ","")&amp;IF(AND(C136&lt;&gt;"",E136&lt;&gt;"",E136&lt;=C136),"Check-out antes do check-in; ",""))</f>
        <v/>
      </c>
    </row>
    <row r="137" customFormat="false" ht="15" hidden="false" customHeight="false" outlineLevel="0" collapsed="false">
      <c r="A137" s="8"/>
      <c r="B137" s="8"/>
      <c r="C137" s="7"/>
      <c r="D137" s="10"/>
      <c r="E137" s="7"/>
      <c r="F137" s="10"/>
      <c r="G137" s="8"/>
      <c r="H137" s="8"/>
      <c r="I137" s="8"/>
      <c r="J137" s="12"/>
      <c r="K137" s="8"/>
      <c r="L137" s="8"/>
      <c r="M137" s="9" t="str">
        <f aca="false">IF(A137="","",IF(I137="","Sem código; ","")&amp;IF(G137="","Sem endereço; ","")&amp;IF(OR(C137="",E137=""),"Sem datas; ","")&amp;IF(AND(C137&lt;&gt;"",E137&lt;&gt;"",E137&lt;=C137),"Check-out antes do check-in; ",""))</f>
        <v/>
      </c>
    </row>
    <row r="138" customFormat="false" ht="15" hidden="false" customHeight="false" outlineLevel="0" collapsed="false">
      <c r="A138" s="8"/>
      <c r="B138" s="8"/>
      <c r="C138" s="7"/>
      <c r="D138" s="10"/>
      <c r="E138" s="7"/>
      <c r="F138" s="10"/>
      <c r="G138" s="8"/>
      <c r="H138" s="8"/>
      <c r="I138" s="8"/>
      <c r="J138" s="12"/>
      <c r="K138" s="8"/>
      <c r="L138" s="8"/>
      <c r="M138" s="9" t="str">
        <f aca="false">IF(A138="","",IF(I138="","Sem código; ","")&amp;IF(G138="","Sem endereço; ","")&amp;IF(OR(C138="",E138=""),"Sem datas; ","")&amp;IF(AND(C138&lt;&gt;"",E138&lt;&gt;"",E138&lt;=C138),"Check-out antes do check-in; ",""))</f>
        <v/>
      </c>
    </row>
    <row r="139" customFormat="false" ht="15" hidden="false" customHeight="false" outlineLevel="0" collapsed="false">
      <c r="A139" s="8"/>
      <c r="B139" s="8"/>
      <c r="C139" s="7"/>
      <c r="D139" s="10"/>
      <c r="E139" s="7"/>
      <c r="F139" s="10"/>
      <c r="G139" s="8"/>
      <c r="H139" s="8"/>
      <c r="I139" s="8"/>
      <c r="J139" s="12"/>
      <c r="K139" s="8"/>
      <c r="L139" s="8"/>
      <c r="M139" s="9" t="str">
        <f aca="false">IF(A139="","",IF(I139="","Sem código; ","")&amp;IF(G139="","Sem endereço; ","")&amp;IF(OR(C139="",E139=""),"Sem datas; ","")&amp;IF(AND(C139&lt;&gt;"",E139&lt;&gt;"",E139&lt;=C139),"Check-out antes do check-in; ",""))</f>
        <v/>
      </c>
    </row>
    <row r="140" customFormat="false" ht="15" hidden="false" customHeight="false" outlineLevel="0" collapsed="false">
      <c r="A140" s="8"/>
      <c r="B140" s="8"/>
      <c r="C140" s="7"/>
      <c r="D140" s="10"/>
      <c r="E140" s="7"/>
      <c r="F140" s="10"/>
      <c r="G140" s="8"/>
      <c r="H140" s="8"/>
      <c r="I140" s="8"/>
      <c r="J140" s="12"/>
      <c r="K140" s="8"/>
      <c r="L140" s="8"/>
      <c r="M140" s="9" t="str">
        <f aca="false">IF(A140="","",IF(I140="","Sem código; ","")&amp;IF(G140="","Sem endereço; ","")&amp;IF(OR(C140="",E140=""),"Sem datas; ","")&amp;IF(AND(C140&lt;&gt;"",E140&lt;&gt;"",E140&lt;=C140),"Check-out antes do check-in; ",""))</f>
        <v/>
      </c>
    </row>
    <row r="141" customFormat="false" ht="15" hidden="false" customHeight="false" outlineLevel="0" collapsed="false">
      <c r="A141" s="8"/>
      <c r="B141" s="8"/>
      <c r="C141" s="7"/>
      <c r="D141" s="10"/>
      <c r="E141" s="7"/>
      <c r="F141" s="10"/>
      <c r="G141" s="8"/>
      <c r="H141" s="8"/>
      <c r="I141" s="8"/>
      <c r="J141" s="12"/>
      <c r="K141" s="8"/>
      <c r="L141" s="8"/>
      <c r="M141" s="9" t="str">
        <f aca="false">IF(A141="","",IF(I141="","Sem código; ","")&amp;IF(G141="","Sem endereço; ","")&amp;IF(OR(C141="",E141=""),"Sem datas; ","")&amp;IF(AND(C141&lt;&gt;"",E141&lt;&gt;"",E141&lt;=C141),"Check-out antes do check-in; ",""))</f>
        <v/>
      </c>
    </row>
    <row r="142" customFormat="false" ht="15" hidden="false" customHeight="false" outlineLevel="0" collapsed="false">
      <c r="A142" s="8"/>
      <c r="B142" s="8"/>
      <c r="C142" s="7"/>
      <c r="D142" s="10"/>
      <c r="E142" s="7"/>
      <c r="F142" s="10"/>
      <c r="G142" s="8"/>
      <c r="H142" s="8"/>
      <c r="I142" s="8"/>
      <c r="J142" s="12"/>
      <c r="K142" s="8"/>
      <c r="L142" s="8"/>
      <c r="M142" s="9" t="str">
        <f aca="false">IF(A142="","",IF(I142="","Sem código; ","")&amp;IF(G142="","Sem endereço; ","")&amp;IF(OR(C142="",E142=""),"Sem datas; ","")&amp;IF(AND(C142&lt;&gt;"",E142&lt;&gt;"",E142&lt;=C142),"Check-out antes do check-in; ",""))</f>
        <v/>
      </c>
    </row>
    <row r="143" customFormat="false" ht="15" hidden="false" customHeight="false" outlineLevel="0" collapsed="false">
      <c r="A143" s="8"/>
      <c r="B143" s="8"/>
      <c r="C143" s="7"/>
      <c r="D143" s="10"/>
      <c r="E143" s="7"/>
      <c r="F143" s="10"/>
      <c r="G143" s="8"/>
      <c r="H143" s="8"/>
      <c r="I143" s="8"/>
      <c r="J143" s="12"/>
      <c r="K143" s="8"/>
      <c r="L143" s="8"/>
      <c r="M143" s="9" t="str">
        <f aca="false">IF(A143="","",IF(I143="","Sem código; ","")&amp;IF(G143="","Sem endereço; ","")&amp;IF(OR(C143="",E143=""),"Sem datas; ","")&amp;IF(AND(C143&lt;&gt;"",E143&lt;&gt;"",E143&lt;=C143),"Check-out antes do check-in; ",""))</f>
        <v/>
      </c>
    </row>
    <row r="144" customFormat="false" ht="15" hidden="false" customHeight="false" outlineLevel="0" collapsed="false">
      <c r="A144" s="8"/>
      <c r="B144" s="8"/>
      <c r="C144" s="7"/>
      <c r="D144" s="10"/>
      <c r="E144" s="7"/>
      <c r="F144" s="10"/>
      <c r="G144" s="8"/>
      <c r="H144" s="8"/>
      <c r="I144" s="8"/>
      <c r="J144" s="12"/>
      <c r="K144" s="8"/>
      <c r="L144" s="8"/>
      <c r="M144" s="9" t="str">
        <f aca="false">IF(A144="","",IF(I144="","Sem código; ","")&amp;IF(G144="","Sem endereço; ","")&amp;IF(OR(C144="",E144=""),"Sem datas; ","")&amp;IF(AND(C144&lt;&gt;"",E144&lt;&gt;"",E144&lt;=C144),"Check-out antes do check-in; ",""))</f>
        <v/>
      </c>
    </row>
    <row r="145" customFormat="false" ht="15" hidden="false" customHeight="false" outlineLevel="0" collapsed="false">
      <c r="A145" s="8"/>
      <c r="B145" s="8"/>
      <c r="C145" s="7"/>
      <c r="D145" s="10"/>
      <c r="E145" s="7"/>
      <c r="F145" s="10"/>
      <c r="G145" s="8"/>
      <c r="H145" s="8"/>
      <c r="I145" s="8"/>
      <c r="J145" s="12"/>
      <c r="K145" s="8"/>
      <c r="L145" s="8"/>
      <c r="M145" s="9" t="str">
        <f aca="false">IF(A145="","",IF(I145="","Sem código; ","")&amp;IF(G145="","Sem endereço; ","")&amp;IF(OR(C145="",E145=""),"Sem datas; ","")&amp;IF(AND(C145&lt;&gt;"",E145&lt;&gt;"",E145&lt;=C145),"Check-out antes do check-in; ",""))</f>
        <v/>
      </c>
    </row>
    <row r="146" customFormat="false" ht="15" hidden="false" customHeight="false" outlineLevel="0" collapsed="false">
      <c r="A146" s="8"/>
      <c r="B146" s="8"/>
      <c r="C146" s="7"/>
      <c r="D146" s="10"/>
      <c r="E146" s="7"/>
      <c r="F146" s="10"/>
      <c r="G146" s="8"/>
      <c r="H146" s="8"/>
      <c r="I146" s="8"/>
      <c r="J146" s="12"/>
      <c r="K146" s="8"/>
      <c r="L146" s="8"/>
      <c r="M146" s="9" t="str">
        <f aca="false">IF(A146="","",IF(I146="","Sem código; ","")&amp;IF(G146="","Sem endereço; ","")&amp;IF(OR(C146="",E146=""),"Sem datas; ","")&amp;IF(AND(C146&lt;&gt;"",E146&lt;&gt;"",E146&lt;=C146),"Check-out antes do check-in; ",""))</f>
        <v/>
      </c>
    </row>
    <row r="147" customFormat="false" ht="15" hidden="false" customHeight="false" outlineLevel="0" collapsed="false">
      <c r="A147" s="8"/>
      <c r="B147" s="8"/>
      <c r="C147" s="7"/>
      <c r="D147" s="10"/>
      <c r="E147" s="7"/>
      <c r="F147" s="10"/>
      <c r="G147" s="8"/>
      <c r="H147" s="8"/>
      <c r="I147" s="8"/>
      <c r="J147" s="12"/>
      <c r="K147" s="8"/>
      <c r="L147" s="8"/>
      <c r="M147" s="9" t="str">
        <f aca="false">IF(A147="","",IF(I147="","Sem código; ","")&amp;IF(G147="","Sem endereço; ","")&amp;IF(OR(C147="",E147=""),"Sem datas; ","")&amp;IF(AND(C147&lt;&gt;"",E147&lt;&gt;"",E147&lt;=C147),"Check-out antes do check-in; ",""))</f>
        <v/>
      </c>
    </row>
    <row r="148" customFormat="false" ht="15" hidden="false" customHeight="false" outlineLevel="0" collapsed="false">
      <c r="A148" s="8"/>
      <c r="B148" s="8"/>
      <c r="C148" s="7"/>
      <c r="D148" s="10"/>
      <c r="E148" s="7"/>
      <c r="F148" s="10"/>
      <c r="G148" s="8"/>
      <c r="H148" s="8"/>
      <c r="I148" s="8"/>
      <c r="J148" s="12"/>
      <c r="K148" s="8"/>
      <c r="L148" s="8"/>
      <c r="M148" s="9" t="str">
        <f aca="false">IF(A148="","",IF(I148="","Sem código; ","")&amp;IF(G148="","Sem endereço; ","")&amp;IF(OR(C148="",E148=""),"Sem datas; ","")&amp;IF(AND(C148&lt;&gt;"",E148&lt;&gt;"",E148&lt;=C148),"Check-out antes do check-in; ",""))</f>
        <v/>
      </c>
    </row>
    <row r="149" customFormat="false" ht="15" hidden="false" customHeight="false" outlineLevel="0" collapsed="false">
      <c r="A149" s="8"/>
      <c r="B149" s="8"/>
      <c r="C149" s="7"/>
      <c r="D149" s="10"/>
      <c r="E149" s="7"/>
      <c r="F149" s="10"/>
      <c r="G149" s="8"/>
      <c r="H149" s="8"/>
      <c r="I149" s="8"/>
      <c r="J149" s="12"/>
      <c r="K149" s="8"/>
      <c r="L149" s="8"/>
      <c r="M149" s="9" t="str">
        <f aca="false">IF(A149="","",IF(I149="","Sem código; ","")&amp;IF(G149="","Sem endereço; ","")&amp;IF(OR(C149="",E149=""),"Sem datas; ","")&amp;IF(AND(C149&lt;&gt;"",E149&lt;&gt;"",E149&lt;=C149),"Check-out antes do check-in; ",""))</f>
        <v/>
      </c>
    </row>
    <row r="150" customFormat="false" ht="15" hidden="false" customHeight="false" outlineLevel="0" collapsed="false">
      <c r="A150" s="8"/>
      <c r="B150" s="8"/>
      <c r="C150" s="7"/>
      <c r="D150" s="10"/>
      <c r="E150" s="7"/>
      <c r="F150" s="10"/>
      <c r="G150" s="8"/>
      <c r="H150" s="8"/>
      <c r="I150" s="8"/>
      <c r="J150" s="12"/>
      <c r="K150" s="8"/>
      <c r="L150" s="8"/>
      <c r="M150" s="9" t="str">
        <f aca="false">IF(A150="","",IF(I150="","Sem código; ","")&amp;IF(G150="","Sem endereço; ","")&amp;IF(OR(C150="",E150=""),"Sem datas; ","")&amp;IF(AND(C150&lt;&gt;"",E150&lt;&gt;"",E150&lt;=C150),"Check-out antes do check-in; ",""))</f>
        <v/>
      </c>
    </row>
    <row r="151" customFormat="false" ht="15" hidden="false" customHeight="false" outlineLevel="0" collapsed="false">
      <c r="A151" s="8"/>
      <c r="B151" s="8"/>
      <c r="C151" s="7"/>
      <c r="D151" s="10"/>
      <c r="E151" s="7"/>
      <c r="F151" s="10"/>
      <c r="G151" s="8"/>
      <c r="H151" s="8"/>
      <c r="I151" s="8"/>
      <c r="J151" s="12"/>
      <c r="K151" s="8"/>
      <c r="L151" s="8"/>
      <c r="M151" s="9" t="str">
        <f aca="false">IF(A151="","",IF(I151="","Sem código; ","")&amp;IF(G151="","Sem endereço; ","")&amp;IF(OR(C151="",E151=""),"Sem datas; ","")&amp;IF(AND(C151&lt;&gt;"",E151&lt;&gt;"",E151&lt;=C151),"Check-out antes do check-in; ",""))</f>
        <v/>
      </c>
    </row>
    <row r="152" customFormat="false" ht="15" hidden="false" customHeight="false" outlineLevel="0" collapsed="false">
      <c r="A152" s="8"/>
      <c r="B152" s="8"/>
      <c r="C152" s="7"/>
      <c r="D152" s="10"/>
      <c r="E152" s="7"/>
      <c r="F152" s="10"/>
      <c r="G152" s="8"/>
      <c r="H152" s="8"/>
      <c r="I152" s="8"/>
      <c r="J152" s="12"/>
      <c r="K152" s="8"/>
      <c r="L152" s="8"/>
      <c r="M152" s="9" t="str">
        <f aca="false">IF(A152="","",IF(I152="","Sem código; ","")&amp;IF(G152="","Sem endereço; ","")&amp;IF(OR(C152="",E152=""),"Sem datas; ","")&amp;IF(AND(C152&lt;&gt;"",E152&lt;&gt;"",E152&lt;=C152),"Check-out antes do check-in; ",""))</f>
        <v/>
      </c>
    </row>
    <row r="153" customFormat="false" ht="15" hidden="false" customHeight="false" outlineLevel="0" collapsed="false">
      <c r="A153" s="8"/>
      <c r="B153" s="8"/>
      <c r="C153" s="7"/>
      <c r="D153" s="10"/>
      <c r="E153" s="7"/>
      <c r="F153" s="10"/>
      <c r="G153" s="8"/>
      <c r="H153" s="8"/>
      <c r="I153" s="8"/>
      <c r="J153" s="12"/>
      <c r="K153" s="8"/>
      <c r="L153" s="8"/>
      <c r="M153" s="9" t="str">
        <f aca="false">IF(A153="","",IF(I153="","Sem código; ","")&amp;IF(G153="","Sem endereço; ","")&amp;IF(OR(C153="",E153=""),"Sem datas; ","")&amp;IF(AND(C153&lt;&gt;"",E153&lt;&gt;"",E153&lt;=C153),"Check-out antes do check-in; ",""))</f>
        <v/>
      </c>
    </row>
    <row r="154" customFormat="false" ht="15" hidden="false" customHeight="false" outlineLevel="0" collapsed="false">
      <c r="A154" s="8"/>
      <c r="B154" s="8"/>
      <c r="C154" s="7"/>
      <c r="D154" s="10"/>
      <c r="E154" s="7"/>
      <c r="F154" s="10"/>
      <c r="G154" s="8"/>
      <c r="H154" s="8"/>
      <c r="I154" s="8"/>
      <c r="J154" s="12"/>
      <c r="K154" s="8"/>
      <c r="L154" s="8"/>
      <c r="M154" s="9" t="str">
        <f aca="false">IF(A154="","",IF(I154="","Sem código; ","")&amp;IF(G154="","Sem endereço; ","")&amp;IF(OR(C154="",E154=""),"Sem datas; ","")&amp;IF(AND(C154&lt;&gt;"",E154&lt;&gt;"",E154&lt;=C154),"Check-out antes do check-in; ",""))</f>
        <v/>
      </c>
    </row>
    <row r="155" customFormat="false" ht="15" hidden="false" customHeight="false" outlineLevel="0" collapsed="false">
      <c r="A155" s="8"/>
      <c r="B155" s="8"/>
      <c r="C155" s="7"/>
      <c r="D155" s="10"/>
      <c r="E155" s="7"/>
      <c r="F155" s="10"/>
      <c r="G155" s="8"/>
      <c r="H155" s="8"/>
      <c r="I155" s="8"/>
      <c r="J155" s="12"/>
      <c r="K155" s="8"/>
      <c r="L155" s="8"/>
      <c r="M155" s="9" t="str">
        <f aca="false">IF(A155="","",IF(I155="","Sem código; ","")&amp;IF(G155="","Sem endereço; ","")&amp;IF(OR(C155="",E155=""),"Sem datas; ","")&amp;IF(AND(C155&lt;&gt;"",E155&lt;&gt;"",E155&lt;=C155),"Check-out antes do check-in; ",""))</f>
        <v/>
      </c>
    </row>
    <row r="156" customFormat="false" ht="15" hidden="false" customHeight="false" outlineLevel="0" collapsed="false">
      <c r="A156" s="8"/>
      <c r="B156" s="8"/>
      <c r="C156" s="7"/>
      <c r="D156" s="10"/>
      <c r="E156" s="7"/>
      <c r="F156" s="10"/>
      <c r="G156" s="8"/>
      <c r="H156" s="8"/>
      <c r="I156" s="8"/>
      <c r="J156" s="12"/>
      <c r="K156" s="8"/>
      <c r="L156" s="8"/>
      <c r="M156" s="9" t="str">
        <f aca="false">IF(A156="","",IF(I156="","Sem código; ","")&amp;IF(G156="","Sem endereço; ","")&amp;IF(OR(C156="",E156=""),"Sem datas; ","")&amp;IF(AND(C156&lt;&gt;"",E156&lt;&gt;"",E156&lt;=C156),"Check-out antes do check-in; ",""))</f>
        <v/>
      </c>
    </row>
    <row r="157" customFormat="false" ht="15" hidden="false" customHeight="false" outlineLevel="0" collapsed="false">
      <c r="A157" s="8"/>
      <c r="B157" s="8"/>
      <c r="C157" s="7"/>
      <c r="D157" s="10"/>
      <c r="E157" s="7"/>
      <c r="F157" s="10"/>
      <c r="G157" s="8"/>
      <c r="H157" s="8"/>
      <c r="I157" s="8"/>
      <c r="J157" s="12"/>
      <c r="K157" s="8"/>
      <c r="L157" s="8"/>
      <c r="M157" s="9" t="str">
        <f aca="false">IF(A157="","",IF(I157="","Sem código; ","")&amp;IF(G157="","Sem endereço; ","")&amp;IF(OR(C157="",E157=""),"Sem datas; ","")&amp;IF(AND(C157&lt;&gt;"",E157&lt;&gt;"",E157&lt;=C157),"Check-out antes do check-in; ",""))</f>
        <v/>
      </c>
    </row>
    <row r="158" customFormat="false" ht="15" hidden="false" customHeight="false" outlineLevel="0" collapsed="false">
      <c r="A158" s="8"/>
      <c r="B158" s="8"/>
      <c r="C158" s="7"/>
      <c r="D158" s="10"/>
      <c r="E158" s="7"/>
      <c r="F158" s="10"/>
      <c r="G158" s="8"/>
      <c r="H158" s="8"/>
      <c r="I158" s="8"/>
      <c r="J158" s="12"/>
      <c r="K158" s="8"/>
      <c r="L158" s="8"/>
      <c r="M158" s="9" t="str">
        <f aca="false">IF(A158="","",IF(I158="","Sem código; ","")&amp;IF(G158="","Sem endereço; ","")&amp;IF(OR(C158="",E158=""),"Sem datas; ","")&amp;IF(AND(C158&lt;&gt;"",E158&lt;&gt;"",E158&lt;=C158),"Check-out antes do check-in; ",""))</f>
        <v/>
      </c>
    </row>
    <row r="159" customFormat="false" ht="15" hidden="false" customHeight="false" outlineLevel="0" collapsed="false">
      <c r="A159" s="8"/>
      <c r="B159" s="8"/>
      <c r="C159" s="7"/>
      <c r="D159" s="10"/>
      <c r="E159" s="7"/>
      <c r="F159" s="10"/>
      <c r="G159" s="8"/>
      <c r="H159" s="8"/>
      <c r="I159" s="8"/>
      <c r="J159" s="12"/>
      <c r="K159" s="8"/>
      <c r="L159" s="8"/>
      <c r="M159" s="9" t="str">
        <f aca="false">IF(A159="","",IF(I159="","Sem código; ","")&amp;IF(G159="","Sem endereço; ","")&amp;IF(OR(C159="",E159=""),"Sem datas; ","")&amp;IF(AND(C159&lt;&gt;"",E159&lt;&gt;"",E159&lt;=C159),"Check-out antes do check-in; ",""))</f>
        <v/>
      </c>
    </row>
    <row r="160" customFormat="false" ht="15" hidden="false" customHeight="false" outlineLevel="0" collapsed="false">
      <c r="A160" s="8"/>
      <c r="B160" s="8"/>
      <c r="C160" s="7"/>
      <c r="D160" s="10"/>
      <c r="E160" s="7"/>
      <c r="F160" s="10"/>
      <c r="G160" s="8"/>
      <c r="H160" s="8"/>
      <c r="I160" s="8"/>
      <c r="J160" s="12"/>
      <c r="K160" s="8"/>
      <c r="L160" s="8"/>
      <c r="M160" s="9" t="str">
        <f aca="false">IF(A160="","",IF(I160="","Sem código; ","")&amp;IF(G160="","Sem endereço; ","")&amp;IF(OR(C160="",E160=""),"Sem datas; ","")&amp;IF(AND(C160&lt;&gt;"",E160&lt;&gt;"",E160&lt;=C160),"Check-out antes do check-in; ",""))</f>
        <v/>
      </c>
    </row>
    <row r="161" customFormat="false" ht="15" hidden="false" customHeight="false" outlineLevel="0" collapsed="false">
      <c r="A161" s="8"/>
      <c r="B161" s="8"/>
      <c r="C161" s="7"/>
      <c r="D161" s="10"/>
      <c r="E161" s="7"/>
      <c r="F161" s="10"/>
      <c r="G161" s="8"/>
      <c r="H161" s="8"/>
      <c r="I161" s="8"/>
      <c r="J161" s="12"/>
      <c r="K161" s="8"/>
      <c r="L161" s="8"/>
      <c r="M161" s="9" t="str">
        <f aca="false">IF(A161="","",IF(I161="","Sem código; ","")&amp;IF(G161="","Sem endereço; ","")&amp;IF(OR(C161="",E161=""),"Sem datas; ","")&amp;IF(AND(C161&lt;&gt;"",E161&lt;&gt;"",E161&lt;=C161),"Check-out antes do check-in; ",""))</f>
        <v/>
      </c>
    </row>
    <row r="162" customFormat="false" ht="15" hidden="false" customHeight="false" outlineLevel="0" collapsed="false">
      <c r="A162" s="8"/>
      <c r="B162" s="8"/>
      <c r="C162" s="7"/>
      <c r="D162" s="10"/>
      <c r="E162" s="7"/>
      <c r="F162" s="10"/>
      <c r="G162" s="8"/>
      <c r="H162" s="8"/>
      <c r="I162" s="8"/>
      <c r="J162" s="12"/>
      <c r="K162" s="8"/>
      <c r="L162" s="8"/>
      <c r="M162" s="9" t="str">
        <f aca="false">IF(A162="","",IF(I162="","Sem código; ","")&amp;IF(G162="","Sem endereço; ","")&amp;IF(OR(C162="",E162=""),"Sem datas; ","")&amp;IF(AND(C162&lt;&gt;"",E162&lt;&gt;"",E162&lt;=C162),"Check-out antes do check-in; ",""))</f>
        <v/>
      </c>
    </row>
    <row r="163" customFormat="false" ht="15" hidden="false" customHeight="false" outlineLevel="0" collapsed="false">
      <c r="A163" s="8"/>
      <c r="B163" s="8"/>
      <c r="C163" s="7"/>
      <c r="D163" s="10"/>
      <c r="E163" s="7"/>
      <c r="F163" s="10"/>
      <c r="G163" s="8"/>
      <c r="H163" s="8"/>
      <c r="I163" s="8"/>
      <c r="J163" s="12"/>
      <c r="K163" s="8"/>
      <c r="L163" s="8"/>
      <c r="M163" s="9" t="str">
        <f aca="false">IF(A163="","",IF(I163="","Sem código; ","")&amp;IF(G163="","Sem endereço; ","")&amp;IF(OR(C163="",E163=""),"Sem datas; ","")&amp;IF(AND(C163&lt;&gt;"",E163&lt;&gt;"",E163&lt;=C163),"Check-out antes do check-in; ",""))</f>
        <v/>
      </c>
    </row>
    <row r="164" customFormat="false" ht="15" hidden="false" customHeight="false" outlineLevel="0" collapsed="false">
      <c r="A164" s="8"/>
      <c r="B164" s="8"/>
      <c r="C164" s="7"/>
      <c r="D164" s="10"/>
      <c r="E164" s="7"/>
      <c r="F164" s="10"/>
      <c r="G164" s="8"/>
      <c r="H164" s="8"/>
      <c r="I164" s="8"/>
      <c r="J164" s="12"/>
      <c r="K164" s="8"/>
      <c r="L164" s="8"/>
      <c r="M164" s="9" t="str">
        <f aca="false">IF(A164="","",IF(I164="","Sem código; ","")&amp;IF(G164="","Sem endereço; ","")&amp;IF(OR(C164="",E164=""),"Sem datas; ","")&amp;IF(AND(C164&lt;&gt;"",E164&lt;&gt;"",E164&lt;=C164),"Check-out antes do check-in; ",""))</f>
        <v/>
      </c>
    </row>
    <row r="165" customFormat="false" ht="15" hidden="false" customHeight="false" outlineLevel="0" collapsed="false">
      <c r="A165" s="8"/>
      <c r="B165" s="8"/>
      <c r="C165" s="7"/>
      <c r="D165" s="10"/>
      <c r="E165" s="7"/>
      <c r="F165" s="10"/>
      <c r="G165" s="8"/>
      <c r="H165" s="8"/>
      <c r="I165" s="8"/>
      <c r="J165" s="12"/>
      <c r="K165" s="8"/>
      <c r="L165" s="8"/>
      <c r="M165" s="9" t="str">
        <f aca="false">IF(A165="","",IF(I165="","Sem código; ","")&amp;IF(G165="","Sem endereço; ","")&amp;IF(OR(C165="",E165=""),"Sem datas; ","")&amp;IF(AND(C165&lt;&gt;"",E165&lt;&gt;"",E165&lt;=C165),"Check-out antes do check-in; ",""))</f>
        <v/>
      </c>
    </row>
    <row r="166" customFormat="false" ht="15" hidden="false" customHeight="false" outlineLevel="0" collapsed="false">
      <c r="A166" s="8"/>
      <c r="B166" s="8"/>
      <c r="C166" s="7"/>
      <c r="D166" s="10"/>
      <c r="E166" s="7"/>
      <c r="F166" s="10"/>
      <c r="G166" s="8"/>
      <c r="H166" s="8"/>
      <c r="I166" s="8"/>
      <c r="J166" s="12"/>
      <c r="K166" s="8"/>
      <c r="L166" s="8"/>
      <c r="M166" s="9" t="str">
        <f aca="false">IF(A166="","",IF(I166="","Sem código; ","")&amp;IF(G166="","Sem endereço; ","")&amp;IF(OR(C166="",E166=""),"Sem datas; ","")&amp;IF(AND(C166&lt;&gt;"",E166&lt;&gt;"",E166&lt;=C166),"Check-out antes do check-in; ",""))</f>
        <v/>
      </c>
    </row>
    <row r="167" customFormat="false" ht="15" hidden="false" customHeight="false" outlineLevel="0" collapsed="false">
      <c r="A167" s="8"/>
      <c r="B167" s="8"/>
      <c r="C167" s="7"/>
      <c r="D167" s="10"/>
      <c r="E167" s="7"/>
      <c r="F167" s="10"/>
      <c r="G167" s="8"/>
      <c r="H167" s="8"/>
      <c r="I167" s="8"/>
      <c r="J167" s="12"/>
      <c r="K167" s="8"/>
      <c r="L167" s="8"/>
      <c r="M167" s="9" t="str">
        <f aca="false">IF(A167="","",IF(I167="","Sem código; ","")&amp;IF(G167="","Sem endereço; ","")&amp;IF(OR(C167="",E167=""),"Sem datas; ","")&amp;IF(AND(C167&lt;&gt;"",E167&lt;&gt;"",E167&lt;=C167),"Check-out antes do check-in; ",""))</f>
        <v/>
      </c>
    </row>
    <row r="168" customFormat="false" ht="15" hidden="false" customHeight="false" outlineLevel="0" collapsed="false">
      <c r="A168" s="8"/>
      <c r="B168" s="8"/>
      <c r="C168" s="7"/>
      <c r="D168" s="10"/>
      <c r="E168" s="7"/>
      <c r="F168" s="10"/>
      <c r="G168" s="8"/>
      <c r="H168" s="8"/>
      <c r="I168" s="8"/>
      <c r="J168" s="12"/>
      <c r="K168" s="8"/>
      <c r="L168" s="8"/>
      <c r="M168" s="9" t="str">
        <f aca="false">IF(A168="","",IF(I168="","Sem código; ","")&amp;IF(G168="","Sem endereço; ","")&amp;IF(OR(C168="",E168=""),"Sem datas; ","")&amp;IF(AND(C168&lt;&gt;"",E168&lt;&gt;"",E168&lt;=C168),"Check-out antes do check-in; ",""))</f>
        <v/>
      </c>
    </row>
    <row r="169" customFormat="false" ht="15" hidden="false" customHeight="false" outlineLevel="0" collapsed="false">
      <c r="A169" s="8"/>
      <c r="B169" s="8"/>
      <c r="C169" s="7"/>
      <c r="D169" s="10"/>
      <c r="E169" s="7"/>
      <c r="F169" s="10"/>
      <c r="G169" s="8"/>
      <c r="H169" s="8"/>
      <c r="I169" s="8"/>
      <c r="J169" s="12"/>
      <c r="K169" s="8"/>
      <c r="L169" s="8"/>
      <c r="M169" s="9" t="str">
        <f aca="false">IF(A169="","",IF(I169="","Sem código; ","")&amp;IF(G169="","Sem endereço; ","")&amp;IF(OR(C169="",E169=""),"Sem datas; ","")&amp;IF(AND(C169&lt;&gt;"",E169&lt;&gt;"",E169&lt;=C169),"Check-out antes do check-in; ",""))</f>
        <v/>
      </c>
    </row>
    <row r="170" customFormat="false" ht="15" hidden="false" customHeight="false" outlineLevel="0" collapsed="false">
      <c r="A170" s="8"/>
      <c r="B170" s="8"/>
      <c r="C170" s="7"/>
      <c r="D170" s="10"/>
      <c r="E170" s="7"/>
      <c r="F170" s="10"/>
      <c r="G170" s="8"/>
      <c r="H170" s="8"/>
      <c r="I170" s="8"/>
      <c r="J170" s="12"/>
      <c r="K170" s="8"/>
      <c r="L170" s="8"/>
      <c r="M170" s="9" t="str">
        <f aca="false">IF(A170="","",IF(I170="","Sem código; ","")&amp;IF(G170="","Sem endereço; ","")&amp;IF(OR(C170="",E170=""),"Sem datas; ","")&amp;IF(AND(C170&lt;&gt;"",E170&lt;&gt;"",E170&lt;=C170),"Check-out antes do check-in; ",""))</f>
        <v/>
      </c>
    </row>
    <row r="171" customFormat="false" ht="15" hidden="false" customHeight="false" outlineLevel="0" collapsed="false">
      <c r="A171" s="8"/>
      <c r="B171" s="8"/>
      <c r="C171" s="7"/>
      <c r="D171" s="10"/>
      <c r="E171" s="7"/>
      <c r="F171" s="10"/>
      <c r="G171" s="8"/>
      <c r="H171" s="8"/>
      <c r="I171" s="8"/>
      <c r="J171" s="12"/>
      <c r="K171" s="8"/>
      <c r="L171" s="8"/>
      <c r="M171" s="9" t="str">
        <f aca="false">IF(A171="","",IF(I171="","Sem código; ","")&amp;IF(G171="","Sem endereço; ","")&amp;IF(OR(C171="",E171=""),"Sem datas; ","")&amp;IF(AND(C171&lt;&gt;"",E171&lt;&gt;"",E171&lt;=C171),"Check-out antes do check-in; ",""))</f>
        <v/>
      </c>
    </row>
    <row r="172" customFormat="false" ht="15" hidden="false" customHeight="false" outlineLevel="0" collapsed="false">
      <c r="A172" s="8"/>
      <c r="B172" s="8"/>
      <c r="C172" s="7"/>
      <c r="D172" s="10"/>
      <c r="E172" s="7"/>
      <c r="F172" s="10"/>
      <c r="G172" s="8"/>
      <c r="H172" s="8"/>
      <c r="I172" s="8"/>
      <c r="J172" s="12"/>
      <c r="K172" s="8"/>
      <c r="L172" s="8"/>
      <c r="M172" s="9" t="str">
        <f aca="false">IF(A172="","",IF(I172="","Sem código; ","")&amp;IF(G172="","Sem endereço; ","")&amp;IF(OR(C172="",E172=""),"Sem datas; ","")&amp;IF(AND(C172&lt;&gt;"",E172&lt;&gt;"",E172&lt;=C172),"Check-out antes do check-in; ",""))</f>
        <v/>
      </c>
    </row>
    <row r="173" customFormat="false" ht="15" hidden="false" customHeight="false" outlineLevel="0" collapsed="false">
      <c r="A173" s="8"/>
      <c r="B173" s="8"/>
      <c r="C173" s="7"/>
      <c r="D173" s="10"/>
      <c r="E173" s="7"/>
      <c r="F173" s="10"/>
      <c r="G173" s="8"/>
      <c r="H173" s="8"/>
      <c r="I173" s="8"/>
      <c r="J173" s="12"/>
      <c r="K173" s="8"/>
      <c r="L173" s="8"/>
      <c r="M173" s="9" t="str">
        <f aca="false">IF(A173="","",IF(I173="","Sem código; ","")&amp;IF(G173="","Sem endereço; ","")&amp;IF(OR(C173="",E173=""),"Sem datas; ","")&amp;IF(AND(C173&lt;&gt;"",E173&lt;&gt;"",E173&lt;=C173),"Check-out antes do check-in; ",""))</f>
        <v/>
      </c>
    </row>
    <row r="174" customFormat="false" ht="15" hidden="false" customHeight="false" outlineLevel="0" collapsed="false">
      <c r="A174" s="8"/>
      <c r="B174" s="8"/>
      <c r="C174" s="7"/>
      <c r="D174" s="10"/>
      <c r="E174" s="7"/>
      <c r="F174" s="10"/>
      <c r="G174" s="8"/>
      <c r="H174" s="8"/>
      <c r="I174" s="8"/>
      <c r="J174" s="12"/>
      <c r="K174" s="8"/>
      <c r="L174" s="8"/>
      <c r="M174" s="9" t="str">
        <f aca="false">IF(A174="","",IF(I174="","Sem código; ","")&amp;IF(G174="","Sem endereço; ","")&amp;IF(OR(C174="",E174=""),"Sem datas; ","")&amp;IF(AND(C174&lt;&gt;"",E174&lt;&gt;"",E174&lt;=C174),"Check-out antes do check-in; ",""))</f>
        <v/>
      </c>
    </row>
    <row r="175" customFormat="false" ht="15" hidden="false" customHeight="false" outlineLevel="0" collapsed="false">
      <c r="A175" s="8"/>
      <c r="B175" s="8"/>
      <c r="C175" s="7"/>
      <c r="D175" s="10"/>
      <c r="E175" s="7"/>
      <c r="F175" s="10"/>
      <c r="G175" s="8"/>
      <c r="H175" s="8"/>
      <c r="I175" s="8"/>
      <c r="J175" s="12"/>
      <c r="K175" s="8"/>
      <c r="L175" s="8"/>
      <c r="M175" s="9" t="str">
        <f aca="false">IF(A175="","",IF(I175="","Sem código; ","")&amp;IF(G175="","Sem endereço; ","")&amp;IF(OR(C175="",E175=""),"Sem datas; ","")&amp;IF(AND(C175&lt;&gt;"",E175&lt;&gt;"",E175&lt;=C175),"Check-out antes do check-in; ",""))</f>
        <v/>
      </c>
    </row>
    <row r="176" customFormat="false" ht="15" hidden="false" customHeight="false" outlineLevel="0" collapsed="false">
      <c r="A176" s="8"/>
      <c r="B176" s="8"/>
      <c r="C176" s="7"/>
      <c r="D176" s="10"/>
      <c r="E176" s="7"/>
      <c r="F176" s="10"/>
      <c r="G176" s="8"/>
      <c r="H176" s="8"/>
      <c r="I176" s="8"/>
      <c r="J176" s="12"/>
      <c r="K176" s="8"/>
      <c r="L176" s="8"/>
      <c r="M176" s="9" t="str">
        <f aca="false">IF(A176="","",IF(I176="","Sem código; ","")&amp;IF(G176="","Sem endereço; ","")&amp;IF(OR(C176="",E176=""),"Sem datas; ","")&amp;IF(AND(C176&lt;&gt;"",E176&lt;&gt;"",E176&lt;=C176),"Check-out antes do check-in; ",""))</f>
        <v/>
      </c>
    </row>
    <row r="177" customFormat="false" ht="15" hidden="false" customHeight="false" outlineLevel="0" collapsed="false">
      <c r="A177" s="8"/>
      <c r="B177" s="8"/>
      <c r="C177" s="7"/>
      <c r="D177" s="10"/>
      <c r="E177" s="7"/>
      <c r="F177" s="10"/>
      <c r="G177" s="8"/>
      <c r="H177" s="8"/>
      <c r="I177" s="8"/>
      <c r="J177" s="12"/>
      <c r="K177" s="8"/>
      <c r="L177" s="8"/>
      <c r="M177" s="9" t="str">
        <f aca="false">IF(A177="","",IF(I177="","Sem código; ","")&amp;IF(G177="","Sem endereço; ","")&amp;IF(OR(C177="",E177=""),"Sem datas; ","")&amp;IF(AND(C177&lt;&gt;"",E177&lt;&gt;"",E177&lt;=C177),"Check-out antes do check-in; ",""))</f>
        <v/>
      </c>
    </row>
    <row r="178" customFormat="false" ht="15" hidden="false" customHeight="false" outlineLevel="0" collapsed="false">
      <c r="A178" s="8"/>
      <c r="B178" s="8"/>
      <c r="C178" s="7"/>
      <c r="D178" s="10"/>
      <c r="E178" s="7"/>
      <c r="F178" s="10"/>
      <c r="G178" s="8"/>
      <c r="H178" s="8"/>
      <c r="I178" s="8"/>
      <c r="J178" s="12"/>
      <c r="K178" s="8"/>
      <c r="L178" s="8"/>
      <c r="M178" s="9" t="str">
        <f aca="false">IF(A178="","",IF(I178="","Sem código; ","")&amp;IF(G178="","Sem endereço; ","")&amp;IF(OR(C178="",E178=""),"Sem datas; ","")&amp;IF(AND(C178&lt;&gt;"",E178&lt;&gt;"",E178&lt;=C178),"Check-out antes do check-in; ",""))</f>
        <v/>
      </c>
    </row>
    <row r="179" customFormat="false" ht="15" hidden="false" customHeight="false" outlineLevel="0" collapsed="false">
      <c r="A179" s="8"/>
      <c r="B179" s="8"/>
      <c r="C179" s="7"/>
      <c r="D179" s="10"/>
      <c r="E179" s="7"/>
      <c r="F179" s="10"/>
      <c r="G179" s="8"/>
      <c r="H179" s="8"/>
      <c r="I179" s="8"/>
      <c r="J179" s="12"/>
      <c r="K179" s="8"/>
      <c r="L179" s="8"/>
      <c r="M179" s="9" t="str">
        <f aca="false">IF(A179="","",IF(I179="","Sem código; ","")&amp;IF(G179="","Sem endereço; ","")&amp;IF(OR(C179="",E179=""),"Sem datas; ","")&amp;IF(AND(C179&lt;&gt;"",E179&lt;&gt;"",E179&lt;=C179),"Check-out antes do check-in; ",""))</f>
        <v/>
      </c>
    </row>
    <row r="180" customFormat="false" ht="15" hidden="false" customHeight="false" outlineLevel="0" collapsed="false">
      <c r="A180" s="8"/>
      <c r="B180" s="8"/>
      <c r="C180" s="7"/>
      <c r="D180" s="10"/>
      <c r="E180" s="7"/>
      <c r="F180" s="10"/>
      <c r="G180" s="8"/>
      <c r="H180" s="8"/>
      <c r="I180" s="8"/>
      <c r="J180" s="12"/>
      <c r="K180" s="8"/>
      <c r="L180" s="8"/>
      <c r="M180" s="9" t="str">
        <f aca="false">IF(A180="","",IF(I180="","Sem código; ","")&amp;IF(G180="","Sem endereço; ","")&amp;IF(OR(C180="",E180=""),"Sem datas; ","")&amp;IF(AND(C180&lt;&gt;"",E180&lt;&gt;"",E180&lt;=C180),"Check-out antes do check-in; ",""))</f>
        <v/>
      </c>
    </row>
    <row r="181" customFormat="false" ht="15" hidden="false" customHeight="false" outlineLevel="0" collapsed="false">
      <c r="A181" s="8"/>
      <c r="B181" s="8"/>
      <c r="C181" s="7"/>
      <c r="D181" s="10"/>
      <c r="E181" s="7"/>
      <c r="F181" s="10"/>
      <c r="G181" s="8"/>
      <c r="H181" s="8"/>
      <c r="I181" s="8"/>
      <c r="J181" s="12"/>
      <c r="K181" s="8"/>
      <c r="L181" s="8"/>
      <c r="M181" s="9" t="str">
        <f aca="false">IF(A181="","",IF(I181="","Sem código; ","")&amp;IF(G181="","Sem endereço; ","")&amp;IF(OR(C181="",E181=""),"Sem datas; ","")&amp;IF(AND(C181&lt;&gt;"",E181&lt;&gt;"",E181&lt;=C181),"Check-out antes do check-in; ",""))</f>
        <v/>
      </c>
    </row>
    <row r="182" customFormat="false" ht="15" hidden="false" customHeight="false" outlineLevel="0" collapsed="false">
      <c r="A182" s="8"/>
      <c r="B182" s="8"/>
      <c r="C182" s="7"/>
      <c r="D182" s="10"/>
      <c r="E182" s="7"/>
      <c r="F182" s="10"/>
      <c r="G182" s="8"/>
      <c r="H182" s="8"/>
      <c r="I182" s="8"/>
      <c r="J182" s="12"/>
      <c r="K182" s="8"/>
      <c r="L182" s="8"/>
      <c r="M182" s="9" t="str">
        <f aca="false">IF(A182="","",IF(I182="","Sem código; ","")&amp;IF(G182="","Sem endereço; ","")&amp;IF(OR(C182="",E182=""),"Sem datas; ","")&amp;IF(AND(C182&lt;&gt;"",E182&lt;&gt;"",E182&lt;=C182),"Check-out antes do check-in; ",""))</f>
        <v/>
      </c>
    </row>
    <row r="183" customFormat="false" ht="15" hidden="false" customHeight="false" outlineLevel="0" collapsed="false">
      <c r="A183" s="8"/>
      <c r="B183" s="8"/>
      <c r="C183" s="7"/>
      <c r="D183" s="10"/>
      <c r="E183" s="7"/>
      <c r="F183" s="10"/>
      <c r="G183" s="8"/>
      <c r="H183" s="8"/>
      <c r="I183" s="8"/>
      <c r="J183" s="12"/>
      <c r="K183" s="8"/>
      <c r="L183" s="8"/>
      <c r="M183" s="9" t="str">
        <f aca="false">IF(A183="","",IF(I183="","Sem código; ","")&amp;IF(G183="","Sem endereço; ","")&amp;IF(OR(C183="",E183=""),"Sem datas; ","")&amp;IF(AND(C183&lt;&gt;"",E183&lt;&gt;"",E183&lt;=C183),"Check-out antes do check-in; ",""))</f>
        <v/>
      </c>
    </row>
    <row r="184" customFormat="false" ht="15" hidden="false" customHeight="false" outlineLevel="0" collapsed="false">
      <c r="A184" s="8"/>
      <c r="B184" s="8"/>
      <c r="C184" s="7"/>
      <c r="D184" s="10"/>
      <c r="E184" s="7"/>
      <c r="F184" s="10"/>
      <c r="G184" s="8"/>
      <c r="H184" s="8"/>
      <c r="I184" s="8"/>
      <c r="J184" s="12"/>
      <c r="K184" s="8"/>
      <c r="L184" s="8"/>
      <c r="M184" s="9" t="str">
        <f aca="false">IF(A184="","",IF(I184="","Sem código; ","")&amp;IF(G184="","Sem endereço; ","")&amp;IF(OR(C184="",E184=""),"Sem datas; ","")&amp;IF(AND(C184&lt;&gt;"",E184&lt;&gt;"",E184&lt;=C184),"Check-out antes do check-in; ",""))</f>
        <v/>
      </c>
    </row>
    <row r="185" customFormat="false" ht="15" hidden="false" customHeight="false" outlineLevel="0" collapsed="false">
      <c r="A185" s="8"/>
      <c r="B185" s="8"/>
      <c r="C185" s="7"/>
      <c r="D185" s="10"/>
      <c r="E185" s="7"/>
      <c r="F185" s="10"/>
      <c r="G185" s="8"/>
      <c r="H185" s="8"/>
      <c r="I185" s="8"/>
      <c r="J185" s="12"/>
      <c r="K185" s="8"/>
      <c r="L185" s="8"/>
      <c r="M185" s="9" t="str">
        <f aca="false">IF(A185="","",IF(I185="","Sem código; ","")&amp;IF(G185="","Sem endereço; ","")&amp;IF(OR(C185="",E185=""),"Sem datas; ","")&amp;IF(AND(C185&lt;&gt;"",E185&lt;&gt;"",E185&lt;=C185),"Check-out antes do check-in; ",""))</f>
        <v/>
      </c>
    </row>
    <row r="186" customFormat="false" ht="15" hidden="false" customHeight="false" outlineLevel="0" collapsed="false">
      <c r="A186" s="8"/>
      <c r="B186" s="8"/>
      <c r="C186" s="7"/>
      <c r="D186" s="10"/>
      <c r="E186" s="7"/>
      <c r="F186" s="10"/>
      <c r="G186" s="8"/>
      <c r="H186" s="8"/>
      <c r="I186" s="8"/>
      <c r="J186" s="12"/>
      <c r="K186" s="8"/>
      <c r="L186" s="8"/>
      <c r="M186" s="9" t="str">
        <f aca="false">IF(A186="","",IF(I186="","Sem código; ","")&amp;IF(G186="","Sem endereço; ","")&amp;IF(OR(C186="",E186=""),"Sem datas; ","")&amp;IF(AND(C186&lt;&gt;"",E186&lt;&gt;"",E186&lt;=C186),"Check-out antes do check-in; ",""))</f>
        <v/>
      </c>
    </row>
    <row r="187" customFormat="false" ht="15" hidden="false" customHeight="false" outlineLevel="0" collapsed="false">
      <c r="A187" s="8"/>
      <c r="B187" s="8"/>
      <c r="C187" s="7"/>
      <c r="D187" s="10"/>
      <c r="E187" s="7"/>
      <c r="F187" s="10"/>
      <c r="G187" s="8"/>
      <c r="H187" s="8"/>
      <c r="I187" s="8"/>
      <c r="J187" s="12"/>
      <c r="K187" s="8"/>
      <c r="L187" s="8"/>
      <c r="M187" s="9" t="str">
        <f aca="false">IF(A187="","",IF(I187="","Sem código; ","")&amp;IF(G187="","Sem endereço; ","")&amp;IF(OR(C187="",E187=""),"Sem datas; ","")&amp;IF(AND(C187&lt;&gt;"",E187&lt;&gt;"",E187&lt;=C187),"Check-out antes do check-in; ",""))</f>
        <v/>
      </c>
    </row>
    <row r="188" customFormat="false" ht="15" hidden="false" customHeight="false" outlineLevel="0" collapsed="false">
      <c r="A188" s="8"/>
      <c r="B188" s="8"/>
      <c r="C188" s="7"/>
      <c r="D188" s="10"/>
      <c r="E188" s="7"/>
      <c r="F188" s="10"/>
      <c r="G188" s="8"/>
      <c r="H188" s="8"/>
      <c r="I188" s="8"/>
      <c r="J188" s="12"/>
      <c r="K188" s="8"/>
      <c r="L188" s="8"/>
      <c r="M188" s="9" t="str">
        <f aca="false">IF(A188="","",IF(I188="","Sem código; ","")&amp;IF(G188="","Sem endereço; ","")&amp;IF(OR(C188="",E188=""),"Sem datas; ","")&amp;IF(AND(C188&lt;&gt;"",E188&lt;&gt;"",E188&lt;=C188),"Check-out antes do check-in; ",""))</f>
        <v/>
      </c>
    </row>
    <row r="189" customFormat="false" ht="15" hidden="false" customHeight="false" outlineLevel="0" collapsed="false">
      <c r="A189" s="8"/>
      <c r="B189" s="8"/>
      <c r="C189" s="7"/>
      <c r="D189" s="10"/>
      <c r="E189" s="7"/>
      <c r="F189" s="10"/>
      <c r="G189" s="8"/>
      <c r="H189" s="8"/>
      <c r="I189" s="8"/>
      <c r="J189" s="12"/>
      <c r="K189" s="8"/>
      <c r="L189" s="8"/>
      <c r="M189" s="9" t="str">
        <f aca="false">IF(A189="","",IF(I189="","Sem código; ","")&amp;IF(G189="","Sem endereço; ","")&amp;IF(OR(C189="",E189=""),"Sem datas; ","")&amp;IF(AND(C189&lt;&gt;"",E189&lt;&gt;"",E189&lt;=C189),"Check-out antes do check-in; ",""))</f>
        <v/>
      </c>
    </row>
    <row r="190" customFormat="false" ht="15" hidden="false" customHeight="false" outlineLevel="0" collapsed="false">
      <c r="A190" s="8"/>
      <c r="B190" s="8"/>
      <c r="C190" s="7"/>
      <c r="D190" s="10"/>
      <c r="E190" s="7"/>
      <c r="F190" s="10"/>
      <c r="G190" s="8"/>
      <c r="H190" s="8"/>
      <c r="I190" s="8"/>
      <c r="J190" s="12"/>
      <c r="K190" s="8"/>
      <c r="L190" s="8"/>
      <c r="M190" s="9" t="str">
        <f aca="false">IF(A190="","",IF(I190="","Sem código; ","")&amp;IF(G190="","Sem endereço; ","")&amp;IF(OR(C190="",E190=""),"Sem datas; ","")&amp;IF(AND(C190&lt;&gt;"",E190&lt;&gt;"",E190&lt;=C190),"Check-out antes do check-in; ",""))</f>
        <v/>
      </c>
    </row>
    <row r="191" customFormat="false" ht="15" hidden="false" customHeight="false" outlineLevel="0" collapsed="false">
      <c r="A191" s="8"/>
      <c r="B191" s="8"/>
      <c r="C191" s="7"/>
      <c r="D191" s="10"/>
      <c r="E191" s="7"/>
      <c r="F191" s="10"/>
      <c r="G191" s="8"/>
      <c r="H191" s="8"/>
      <c r="I191" s="8"/>
      <c r="J191" s="12"/>
      <c r="K191" s="8"/>
      <c r="L191" s="8"/>
      <c r="M191" s="9" t="str">
        <f aca="false">IF(A191="","",IF(I191="","Sem código; ","")&amp;IF(G191="","Sem endereço; ","")&amp;IF(OR(C191="",E191=""),"Sem datas; ","")&amp;IF(AND(C191&lt;&gt;"",E191&lt;&gt;"",E191&lt;=C191),"Check-out antes do check-in; ",""))</f>
        <v/>
      </c>
    </row>
    <row r="192" customFormat="false" ht="15" hidden="false" customHeight="false" outlineLevel="0" collapsed="false">
      <c r="A192" s="8"/>
      <c r="B192" s="8"/>
      <c r="C192" s="7"/>
      <c r="D192" s="10"/>
      <c r="E192" s="7"/>
      <c r="F192" s="10"/>
      <c r="G192" s="8"/>
      <c r="H192" s="8"/>
      <c r="I192" s="8"/>
      <c r="J192" s="12"/>
      <c r="K192" s="8"/>
      <c r="L192" s="8"/>
      <c r="M192" s="9" t="str">
        <f aca="false">IF(A192="","",IF(I192="","Sem código; ","")&amp;IF(G192="","Sem endereço; ","")&amp;IF(OR(C192="",E192=""),"Sem datas; ","")&amp;IF(AND(C192&lt;&gt;"",E192&lt;&gt;"",E192&lt;=C192),"Check-out antes do check-in; ",""))</f>
        <v/>
      </c>
    </row>
    <row r="193" customFormat="false" ht="15" hidden="false" customHeight="false" outlineLevel="0" collapsed="false">
      <c r="A193" s="8"/>
      <c r="B193" s="8"/>
      <c r="C193" s="7"/>
      <c r="D193" s="10"/>
      <c r="E193" s="7"/>
      <c r="F193" s="10"/>
      <c r="G193" s="8"/>
      <c r="H193" s="8"/>
      <c r="I193" s="8"/>
      <c r="J193" s="12"/>
      <c r="K193" s="8"/>
      <c r="L193" s="8"/>
      <c r="M193" s="9" t="str">
        <f aca="false">IF(A193="","",IF(I193="","Sem código; ","")&amp;IF(G193="","Sem endereço; ","")&amp;IF(OR(C193="",E193=""),"Sem datas; ","")&amp;IF(AND(C193&lt;&gt;"",E193&lt;&gt;"",E193&lt;=C193),"Check-out antes do check-in; ",""))</f>
        <v/>
      </c>
    </row>
    <row r="194" customFormat="false" ht="15" hidden="false" customHeight="false" outlineLevel="0" collapsed="false">
      <c r="A194" s="8"/>
      <c r="B194" s="8"/>
      <c r="C194" s="7"/>
      <c r="D194" s="10"/>
      <c r="E194" s="7"/>
      <c r="F194" s="10"/>
      <c r="G194" s="8"/>
      <c r="H194" s="8"/>
      <c r="I194" s="8"/>
      <c r="J194" s="12"/>
      <c r="K194" s="8"/>
      <c r="L194" s="8"/>
      <c r="M194" s="9" t="str">
        <f aca="false">IF(A194="","",IF(I194="","Sem código; ","")&amp;IF(G194="","Sem endereço; ","")&amp;IF(OR(C194="",E194=""),"Sem datas; ","")&amp;IF(AND(C194&lt;&gt;"",E194&lt;&gt;"",E194&lt;=C194),"Check-out antes do check-in; ",""))</f>
        <v/>
      </c>
    </row>
    <row r="195" customFormat="false" ht="15" hidden="false" customHeight="false" outlineLevel="0" collapsed="false">
      <c r="A195" s="8"/>
      <c r="B195" s="8"/>
      <c r="C195" s="7"/>
      <c r="D195" s="10"/>
      <c r="E195" s="7"/>
      <c r="F195" s="10"/>
      <c r="G195" s="8"/>
      <c r="H195" s="8"/>
      <c r="I195" s="8"/>
      <c r="J195" s="12"/>
      <c r="K195" s="8"/>
      <c r="L195" s="8"/>
      <c r="M195" s="9" t="str">
        <f aca="false">IF(A195="","",IF(I195="","Sem código; ","")&amp;IF(G195="","Sem endereço; ","")&amp;IF(OR(C195="",E195=""),"Sem datas; ","")&amp;IF(AND(C195&lt;&gt;"",E195&lt;&gt;"",E195&lt;=C195),"Check-out antes do check-in; ",""))</f>
        <v/>
      </c>
    </row>
    <row r="196" customFormat="false" ht="15" hidden="false" customHeight="false" outlineLevel="0" collapsed="false">
      <c r="A196" s="8"/>
      <c r="B196" s="8"/>
      <c r="C196" s="7"/>
      <c r="D196" s="10"/>
      <c r="E196" s="7"/>
      <c r="F196" s="10"/>
      <c r="G196" s="8"/>
      <c r="H196" s="8"/>
      <c r="I196" s="8"/>
      <c r="J196" s="12"/>
      <c r="K196" s="8"/>
      <c r="L196" s="8"/>
      <c r="M196" s="9" t="str">
        <f aca="false">IF(A196="","",IF(I196="","Sem código; ","")&amp;IF(G196="","Sem endereço; ","")&amp;IF(OR(C196="",E196=""),"Sem datas; ","")&amp;IF(AND(C196&lt;&gt;"",E196&lt;&gt;"",E196&lt;=C196),"Check-out antes do check-in; ",""))</f>
        <v/>
      </c>
    </row>
    <row r="197" customFormat="false" ht="15" hidden="false" customHeight="false" outlineLevel="0" collapsed="false">
      <c r="A197" s="8"/>
      <c r="B197" s="8"/>
      <c r="C197" s="7"/>
      <c r="D197" s="10"/>
      <c r="E197" s="7"/>
      <c r="F197" s="10"/>
      <c r="G197" s="8"/>
      <c r="H197" s="8"/>
      <c r="I197" s="8"/>
      <c r="J197" s="12"/>
      <c r="K197" s="8"/>
      <c r="L197" s="8"/>
      <c r="M197" s="9" t="str">
        <f aca="false">IF(A197="","",IF(I197="","Sem código; ","")&amp;IF(G197="","Sem endereço; ","")&amp;IF(OR(C197="",E197=""),"Sem datas; ","")&amp;IF(AND(C197&lt;&gt;"",E197&lt;&gt;"",E197&lt;=C197),"Check-out antes do check-in; ",""))</f>
        <v/>
      </c>
    </row>
    <row r="198" customFormat="false" ht="15" hidden="false" customHeight="false" outlineLevel="0" collapsed="false">
      <c r="A198" s="8"/>
      <c r="B198" s="8"/>
      <c r="C198" s="7"/>
      <c r="D198" s="10"/>
      <c r="E198" s="7"/>
      <c r="F198" s="10"/>
      <c r="G198" s="8"/>
      <c r="H198" s="8"/>
      <c r="I198" s="8"/>
      <c r="J198" s="12"/>
      <c r="K198" s="8"/>
      <c r="L198" s="8"/>
      <c r="M198" s="9" t="str">
        <f aca="false">IF(A198="","",IF(I198="","Sem código; ","")&amp;IF(G198="","Sem endereço; ","")&amp;IF(OR(C198="",E198=""),"Sem datas; ","")&amp;IF(AND(C198&lt;&gt;"",E198&lt;&gt;"",E198&lt;=C198),"Check-out antes do check-in; ",""))</f>
        <v/>
      </c>
    </row>
    <row r="199" customFormat="false" ht="15" hidden="false" customHeight="false" outlineLevel="0" collapsed="false">
      <c r="A199" s="8"/>
      <c r="B199" s="8"/>
      <c r="C199" s="7"/>
      <c r="D199" s="10"/>
      <c r="E199" s="7"/>
      <c r="F199" s="10"/>
      <c r="G199" s="8"/>
      <c r="H199" s="8"/>
      <c r="I199" s="8"/>
      <c r="J199" s="12"/>
      <c r="K199" s="8"/>
      <c r="L199" s="8"/>
      <c r="M199" s="9" t="str">
        <f aca="false">IF(A199="","",IF(I199="","Sem código; ","")&amp;IF(G199="","Sem endereço; ","")&amp;IF(OR(C199="",E199=""),"Sem datas; ","")&amp;IF(AND(C199&lt;&gt;"",E199&lt;&gt;"",E199&lt;=C199),"Check-out antes do check-in; ",""))</f>
        <v/>
      </c>
    </row>
    <row r="200" customFormat="false" ht="15" hidden="false" customHeight="false" outlineLevel="0" collapsed="false">
      <c r="A200" s="8"/>
      <c r="B200" s="8"/>
      <c r="C200" s="7"/>
      <c r="D200" s="10"/>
      <c r="E200" s="7"/>
      <c r="F200" s="10"/>
      <c r="G200" s="8"/>
      <c r="H200" s="8"/>
      <c r="I200" s="8"/>
      <c r="J200" s="12"/>
      <c r="K200" s="8"/>
      <c r="L200" s="8"/>
      <c r="M200" s="9" t="str">
        <f aca="false">IF(A200="","",IF(I200="","Sem código; ","")&amp;IF(G200="","Sem endereço; ","")&amp;IF(OR(C200="",E200=""),"Sem datas; ","")&amp;IF(AND(C200&lt;&gt;"",E200&lt;&gt;"",E200&lt;=C200),"Check-out antes do check-in; ",""))</f>
        <v/>
      </c>
    </row>
    <row r="201" customFormat="false" ht="15" hidden="false" customHeight="false" outlineLevel="0" collapsed="false">
      <c r="A201" s="8"/>
      <c r="B201" s="8"/>
      <c r="C201" s="7"/>
      <c r="D201" s="10"/>
      <c r="E201" s="7"/>
      <c r="F201" s="10"/>
      <c r="G201" s="8"/>
      <c r="H201" s="8"/>
      <c r="I201" s="8"/>
      <c r="J201" s="12"/>
      <c r="K201" s="8"/>
      <c r="L201" s="8"/>
      <c r="M201" s="9" t="str">
        <f aca="false">IF(A201="","",IF(I201="","Sem código; ","")&amp;IF(G201="","Sem endereço; ","")&amp;IF(OR(C201="",E201=""),"Sem datas; ","")&amp;IF(AND(C201&lt;&gt;"",E201&lt;&gt;"",E201&lt;=C201),"Check-out antes do check-in; ",""))</f>
        <v/>
      </c>
    </row>
    <row r="202" customFormat="false" ht="15" hidden="false" customHeight="false" outlineLevel="0" collapsed="false">
      <c r="A202" s="8"/>
      <c r="B202" s="8"/>
      <c r="C202" s="7"/>
      <c r="D202" s="10"/>
      <c r="E202" s="7"/>
      <c r="F202" s="10"/>
      <c r="G202" s="8"/>
      <c r="H202" s="8"/>
      <c r="I202" s="8"/>
      <c r="J202" s="12"/>
      <c r="K202" s="8"/>
      <c r="L202" s="8"/>
      <c r="M202" s="9" t="str">
        <f aca="false">IF(A202="","",IF(I202="","Sem código; ","")&amp;IF(G202="","Sem endereço; ","")&amp;IF(OR(C202="",E202=""),"Sem datas; ","")&amp;IF(AND(C202&lt;&gt;"",E202&lt;&gt;"",E202&lt;=C202),"Check-out antes do check-in; ",""))</f>
        <v/>
      </c>
    </row>
    <row r="203" customFormat="false" ht="15" hidden="false" customHeight="false" outlineLevel="0" collapsed="false">
      <c r="A203" s="8"/>
      <c r="B203" s="8"/>
      <c r="C203" s="7"/>
      <c r="D203" s="10"/>
      <c r="E203" s="7"/>
      <c r="F203" s="10"/>
      <c r="G203" s="8"/>
      <c r="H203" s="8"/>
      <c r="I203" s="8"/>
      <c r="J203" s="12"/>
      <c r="K203" s="8"/>
      <c r="L203" s="8"/>
      <c r="M203" s="9" t="str">
        <f aca="false">IF(A203="","",IF(I203="","Sem código; ","")&amp;IF(G203="","Sem endereço; ","")&amp;IF(OR(C203="",E203=""),"Sem datas; ","")&amp;IF(AND(C203&lt;&gt;"",E203&lt;&gt;"",E203&lt;=C203),"Check-out antes do check-in; ",""))</f>
        <v/>
      </c>
    </row>
    <row r="204" customFormat="false" ht="15" hidden="false" customHeight="false" outlineLevel="0" collapsed="false">
      <c r="A204" s="8"/>
      <c r="B204" s="8"/>
      <c r="C204" s="7"/>
      <c r="D204" s="10"/>
      <c r="E204" s="7"/>
      <c r="F204" s="10"/>
      <c r="G204" s="8"/>
      <c r="H204" s="8"/>
      <c r="I204" s="8"/>
      <c r="J204" s="12"/>
      <c r="K204" s="8"/>
      <c r="L204" s="8"/>
      <c r="M204" s="9" t="str">
        <f aca="false">IF(A204="","",IF(I204="","Sem código; ","")&amp;IF(G204="","Sem endereço; ","")&amp;IF(OR(C204="",E204=""),"Sem datas; ","")&amp;IF(AND(C204&lt;&gt;"",E204&lt;&gt;"",E204&lt;=C204),"Check-out antes do check-in; ",""))</f>
        <v/>
      </c>
    </row>
    <row r="205" customFormat="false" ht="15" hidden="false" customHeight="false" outlineLevel="0" collapsed="false">
      <c r="A205" s="8"/>
      <c r="B205" s="8"/>
      <c r="C205" s="7"/>
      <c r="D205" s="10"/>
      <c r="E205" s="7"/>
      <c r="F205" s="10"/>
      <c r="G205" s="8"/>
      <c r="H205" s="8"/>
      <c r="I205" s="8"/>
      <c r="J205" s="12"/>
      <c r="K205" s="8"/>
      <c r="L205" s="8"/>
      <c r="M205" s="9" t="str">
        <f aca="false">IF(A205="","",IF(I205="","Sem código; ","")&amp;IF(G205="","Sem endereço; ","")&amp;IF(OR(C205="",E205=""),"Sem datas; ","")&amp;IF(AND(C205&lt;&gt;"",E205&lt;&gt;"",E205&lt;=C205),"Check-out antes do check-in; ",""))</f>
        <v/>
      </c>
    </row>
    <row r="206" customFormat="false" ht="15" hidden="false" customHeight="false" outlineLevel="0" collapsed="false">
      <c r="A206" s="8"/>
      <c r="B206" s="8"/>
      <c r="C206" s="7"/>
      <c r="D206" s="10"/>
      <c r="E206" s="7"/>
      <c r="F206" s="10"/>
      <c r="G206" s="8"/>
      <c r="H206" s="8"/>
      <c r="I206" s="8"/>
      <c r="J206" s="12"/>
      <c r="K206" s="8"/>
      <c r="L206" s="8"/>
      <c r="M206" s="9" t="str">
        <f aca="false">IF(A206="","",IF(I206="","Sem código; ","")&amp;IF(G206="","Sem endereço; ","")&amp;IF(OR(C206="",E206=""),"Sem datas; ","")&amp;IF(AND(C206&lt;&gt;"",E206&lt;&gt;"",E206&lt;=C206),"Check-out antes do check-in; ",""))</f>
        <v/>
      </c>
    </row>
    <row r="207" customFormat="false" ht="15" hidden="false" customHeight="false" outlineLevel="0" collapsed="false">
      <c r="A207" s="8"/>
      <c r="B207" s="8"/>
      <c r="C207" s="7"/>
      <c r="D207" s="10"/>
      <c r="E207" s="7"/>
      <c r="F207" s="10"/>
      <c r="G207" s="8"/>
      <c r="H207" s="8"/>
      <c r="I207" s="8"/>
      <c r="J207" s="12"/>
      <c r="K207" s="8"/>
      <c r="L207" s="8"/>
      <c r="M207" s="9" t="str">
        <f aca="false">IF(A207="","",IF(I207="","Sem código; ","")&amp;IF(G207="","Sem endereço; ","")&amp;IF(OR(C207="",E207=""),"Sem datas; ","")&amp;IF(AND(C207&lt;&gt;"",E207&lt;&gt;"",E207&lt;=C207),"Check-out antes do check-in; ",""))</f>
        <v/>
      </c>
    </row>
    <row r="208" customFormat="false" ht="15" hidden="false" customHeight="false" outlineLevel="0" collapsed="false">
      <c r="A208" s="8"/>
      <c r="B208" s="8"/>
      <c r="C208" s="7"/>
      <c r="D208" s="10"/>
      <c r="E208" s="7"/>
      <c r="F208" s="10"/>
      <c r="G208" s="8"/>
      <c r="H208" s="8"/>
      <c r="I208" s="8"/>
      <c r="J208" s="12"/>
      <c r="K208" s="8"/>
      <c r="L208" s="8"/>
      <c r="M208" s="9" t="str">
        <f aca="false">IF(A208="","",IF(I208="","Sem código; ","")&amp;IF(G208="","Sem endereço; ","")&amp;IF(OR(C208="",E208=""),"Sem datas; ","")&amp;IF(AND(C208&lt;&gt;"",E208&lt;&gt;"",E208&lt;=C208),"Check-out antes do check-in; ",""))</f>
        <v/>
      </c>
    </row>
    <row r="209" customFormat="false" ht="15" hidden="false" customHeight="false" outlineLevel="0" collapsed="false">
      <c r="A209" s="8"/>
      <c r="B209" s="8"/>
      <c r="C209" s="7"/>
      <c r="D209" s="10"/>
      <c r="E209" s="7"/>
      <c r="F209" s="10"/>
      <c r="G209" s="8"/>
      <c r="H209" s="8"/>
      <c r="I209" s="8"/>
      <c r="J209" s="12"/>
      <c r="K209" s="8"/>
      <c r="L209" s="8"/>
      <c r="M209" s="9" t="str">
        <f aca="false">IF(A209="","",IF(I209="","Sem código; ","")&amp;IF(G209="","Sem endereço; ","")&amp;IF(OR(C209="",E209=""),"Sem datas; ","")&amp;IF(AND(C209&lt;&gt;"",E209&lt;&gt;"",E209&lt;=C209),"Check-out antes do check-in; ",""))</f>
        <v/>
      </c>
    </row>
    <row r="210" customFormat="false" ht="15" hidden="false" customHeight="false" outlineLevel="0" collapsed="false">
      <c r="A210" s="8"/>
      <c r="B210" s="8"/>
      <c r="C210" s="7"/>
      <c r="D210" s="10"/>
      <c r="E210" s="7"/>
      <c r="F210" s="10"/>
      <c r="G210" s="8"/>
      <c r="H210" s="8"/>
      <c r="I210" s="8"/>
      <c r="J210" s="12"/>
      <c r="K210" s="8"/>
      <c r="L210" s="8"/>
      <c r="M210" s="9" t="str">
        <f aca="false">IF(A210="","",IF(I210="","Sem código; ","")&amp;IF(G210="","Sem endereço; ","")&amp;IF(OR(C210="",E210=""),"Sem datas; ","")&amp;IF(AND(C210&lt;&gt;"",E210&lt;&gt;"",E210&lt;=C210),"Check-out antes do check-in; ",""))</f>
        <v/>
      </c>
    </row>
    <row r="211" customFormat="false" ht="15" hidden="false" customHeight="false" outlineLevel="0" collapsed="false">
      <c r="A211" s="8"/>
      <c r="B211" s="8"/>
      <c r="C211" s="7"/>
      <c r="D211" s="10"/>
      <c r="E211" s="7"/>
      <c r="F211" s="10"/>
      <c r="G211" s="8"/>
      <c r="H211" s="8"/>
      <c r="I211" s="8"/>
      <c r="J211" s="12"/>
      <c r="K211" s="8"/>
      <c r="L211" s="8"/>
      <c r="M211" s="9" t="str">
        <f aca="false">IF(A211="","",IF(I211="","Sem código; ","")&amp;IF(G211="","Sem endereço; ","")&amp;IF(OR(C211="",E211=""),"Sem datas; ","")&amp;IF(AND(C211&lt;&gt;"",E211&lt;&gt;"",E211&lt;=C211),"Check-out antes do check-in; ",""))</f>
        <v/>
      </c>
    </row>
    <row r="212" customFormat="false" ht="15" hidden="false" customHeight="false" outlineLevel="0" collapsed="false">
      <c r="A212" s="8"/>
      <c r="B212" s="8"/>
      <c r="C212" s="7"/>
      <c r="D212" s="10"/>
      <c r="E212" s="7"/>
      <c r="F212" s="10"/>
      <c r="G212" s="8"/>
      <c r="H212" s="8"/>
      <c r="I212" s="8"/>
      <c r="J212" s="12"/>
      <c r="K212" s="8"/>
      <c r="L212" s="8"/>
      <c r="M212" s="9" t="str">
        <f aca="false">IF(A212="","",IF(I212="","Sem código; ","")&amp;IF(G212="","Sem endereço; ","")&amp;IF(OR(C212="",E212=""),"Sem datas; ","")&amp;IF(AND(C212&lt;&gt;"",E212&lt;&gt;"",E212&lt;=C212),"Check-out antes do check-in; ",""))</f>
        <v/>
      </c>
    </row>
    <row r="213" customFormat="false" ht="15" hidden="false" customHeight="false" outlineLevel="0" collapsed="false">
      <c r="A213" s="8"/>
      <c r="B213" s="8"/>
      <c r="C213" s="7"/>
      <c r="D213" s="10"/>
      <c r="E213" s="7"/>
      <c r="F213" s="10"/>
      <c r="G213" s="8"/>
      <c r="H213" s="8"/>
      <c r="I213" s="8"/>
      <c r="J213" s="12"/>
      <c r="K213" s="8"/>
      <c r="L213" s="8"/>
      <c r="M213" s="9" t="str">
        <f aca="false">IF(A213="","",IF(I213="","Sem código; ","")&amp;IF(G213="","Sem endereço; ","")&amp;IF(OR(C213="",E213=""),"Sem datas; ","")&amp;IF(AND(C213&lt;&gt;"",E213&lt;&gt;"",E213&lt;=C213),"Check-out antes do check-in; ",""))</f>
        <v/>
      </c>
    </row>
    <row r="214" customFormat="false" ht="15" hidden="false" customHeight="false" outlineLevel="0" collapsed="false">
      <c r="A214" s="8"/>
      <c r="B214" s="8"/>
      <c r="C214" s="7"/>
      <c r="D214" s="10"/>
      <c r="E214" s="7"/>
      <c r="F214" s="10"/>
      <c r="G214" s="8"/>
      <c r="H214" s="8"/>
      <c r="I214" s="8"/>
      <c r="J214" s="12"/>
      <c r="K214" s="8"/>
      <c r="L214" s="8"/>
      <c r="M214" s="9" t="str">
        <f aca="false">IF(A214="","",IF(I214="","Sem código; ","")&amp;IF(G214="","Sem endereço; ","")&amp;IF(OR(C214="",E214=""),"Sem datas; ","")&amp;IF(AND(C214&lt;&gt;"",E214&lt;&gt;"",E214&lt;=C214),"Check-out antes do check-in; ",""))</f>
        <v/>
      </c>
    </row>
    <row r="215" customFormat="false" ht="15" hidden="false" customHeight="false" outlineLevel="0" collapsed="false">
      <c r="A215" s="8"/>
      <c r="B215" s="8"/>
      <c r="C215" s="7"/>
      <c r="D215" s="10"/>
      <c r="E215" s="7"/>
      <c r="F215" s="10"/>
      <c r="G215" s="8"/>
      <c r="H215" s="8"/>
      <c r="I215" s="8"/>
      <c r="J215" s="12"/>
      <c r="K215" s="8"/>
      <c r="L215" s="8"/>
      <c r="M215" s="9" t="str">
        <f aca="false">IF(A215="","",IF(I215="","Sem código; ","")&amp;IF(G215="","Sem endereço; ","")&amp;IF(OR(C215="",E215=""),"Sem datas; ","")&amp;IF(AND(C215&lt;&gt;"",E215&lt;&gt;"",E215&lt;=C215),"Check-out antes do check-in; ",""))</f>
        <v/>
      </c>
    </row>
    <row r="216" customFormat="false" ht="15" hidden="false" customHeight="false" outlineLevel="0" collapsed="false">
      <c r="A216" s="8"/>
      <c r="B216" s="8"/>
      <c r="C216" s="7"/>
      <c r="D216" s="10"/>
      <c r="E216" s="7"/>
      <c r="F216" s="10"/>
      <c r="G216" s="8"/>
      <c r="H216" s="8"/>
      <c r="I216" s="8"/>
      <c r="J216" s="12"/>
      <c r="K216" s="8"/>
      <c r="L216" s="8"/>
      <c r="M216" s="9" t="str">
        <f aca="false">IF(A216="","",IF(I216="","Sem código; ","")&amp;IF(G216="","Sem endereço; ","")&amp;IF(OR(C216="",E216=""),"Sem datas; ","")&amp;IF(AND(C216&lt;&gt;"",E216&lt;&gt;"",E216&lt;=C216),"Check-out antes do check-in; ",""))</f>
        <v/>
      </c>
    </row>
    <row r="217" customFormat="false" ht="15" hidden="false" customHeight="false" outlineLevel="0" collapsed="false">
      <c r="A217" s="8"/>
      <c r="B217" s="8"/>
      <c r="C217" s="7"/>
      <c r="D217" s="10"/>
      <c r="E217" s="7"/>
      <c r="F217" s="10"/>
      <c r="G217" s="8"/>
      <c r="H217" s="8"/>
      <c r="I217" s="8"/>
      <c r="J217" s="12"/>
      <c r="K217" s="8"/>
      <c r="L217" s="8"/>
      <c r="M217" s="9" t="str">
        <f aca="false">IF(A217="","",IF(I217="","Sem código; ","")&amp;IF(G217="","Sem endereço; ","")&amp;IF(OR(C217="",E217=""),"Sem datas; ","")&amp;IF(AND(C217&lt;&gt;"",E217&lt;&gt;"",E217&lt;=C217),"Check-out antes do check-in; ",""))</f>
        <v/>
      </c>
    </row>
    <row r="218" customFormat="false" ht="15" hidden="false" customHeight="false" outlineLevel="0" collapsed="false">
      <c r="A218" s="8"/>
      <c r="B218" s="8"/>
      <c r="C218" s="7"/>
      <c r="D218" s="10"/>
      <c r="E218" s="7"/>
      <c r="F218" s="10"/>
      <c r="G218" s="8"/>
      <c r="H218" s="8"/>
      <c r="I218" s="8"/>
      <c r="J218" s="12"/>
      <c r="K218" s="8"/>
      <c r="L218" s="8"/>
      <c r="M218" s="9" t="str">
        <f aca="false">IF(A218="","",IF(I218="","Sem código; ","")&amp;IF(G218="","Sem endereço; ","")&amp;IF(OR(C218="",E218=""),"Sem datas; ","")&amp;IF(AND(C218&lt;&gt;"",E218&lt;&gt;"",E218&lt;=C218),"Check-out antes do check-in; ",""))</f>
        <v/>
      </c>
    </row>
    <row r="219" customFormat="false" ht="15" hidden="false" customHeight="false" outlineLevel="0" collapsed="false">
      <c r="A219" s="8"/>
      <c r="B219" s="8"/>
      <c r="C219" s="7"/>
      <c r="D219" s="10"/>
      <c r="E219" s="7"/>
      <c r="F219" s="10"/>
      <c r="G219" s="8"/>
      <c r="H219" s="8"/>
      <c r="I219" s="8"/>
      <c r="J219" s="12"/>
      <c r="K219" s="8"/>
      <c r="L219" s="8"/>
      <c r="M219" s="9" t="str">
        <f aca="false">IF(A219="","",IF(I219="","Sem código; ","")&amp;IF(G219="","Sem endereço; ","")&amp;IF(OR(C219="",E219=""),"Sem datas; ","")&amp;IF(AND(C219&lt;&gt;"",E219&lt;&gt;"",E219&lt;=C219),"Check-out antes do check-in; ",""))</f>
        <v/>
      </c>
    </row>
    <row r="220" customFormat="false" ht="15" hidden="false" customHeight="false" outlineLevel="0" collapsed="false">
      <c r="A220" s="8"/>
      <c r="B220" s="8"/>
      <c r="C220" s="7"/>
      <c r="D220" s="10"/>
      <c r="E220" s="7"/>
      <c r="F220" s="10"/>
      <c r="G220" s="8"/>
      <c r="H220" s="8"/>
      <c r="I220" s="8"/>
      <c r="J220" s="12"/>
      <c r="K220" s="8"/>
      <c r="L220" s="8"/>
      <c r="M220" s="9" t="str">
        <f aca="false">IF(A220="","",IF(I220="","Sem código; ","")&amp;IF(G220="","Sem endereço; ","")&amp;IF(OR(C220="",E220=""),"Sem datas; ","")&amp;IF(AND(C220&lt;&gt;"",E220&lt;&gt;"",E220&lt;=C220),"Check-out antes do check-in; ",""))</f>
        <v/>
      </c>
    </row>
    <row r="221" customFormat="false" ht="15" hidden="false" customHeight="false" outlineLevel="0" collapsed="false">
      <c r="A221" s="8"/>
      <c r="B221" s="8"/>
      <c r="C221" s="7"/>
      <c r="D221" s="10"/>
      <c r="E221" s="7"/>
      <c r="F221" s="10"/>
      <c r="G221" s="8"/>
      <c r="H221" s="8"/>
      <c r="I221" s="8"/>
      <c r="J221" s="12"/>
      <c r="K221" s="8"/>
      <c r="L221" s="8"/>
      <c r="M221" s="9" t="str">
        <f aca="false">IF(A221="","",IF(I221="","Sem código; ","")&amp;IF(G221="","Sem endereço; ","")&amp;IF(OR(C221="",E221=""),"Sem datas; ","")&amp;IF(AND(C221&lt;&gt;"",E221&lt;&gt;"",E221&lt;=C221),"Check-out antes do check-in; ",""))</f>
        <v/>
      </c>
    </row>
    <row r="222" customFormat="false" ht="15" hidden="false" customHeight="false" outlineLevel="0" collapsed="false">
      <c r="A222" s="8"/>
      <c r="B222" s="8"/>
      <c r="C222" s="7"/>
      <c r="D222" s="10"/>
      <c r="E222" s="7"/>
      <c r="F222" s="10"/>
      <c r="G222" s="8"/>
      <c r="H222" s="8"/>
      <c r="I222" s="8"/>
      <c r="J222" s="12"/>
      <c r="K222" s="8"/>
      <c r="L222" s="8"/>
      <c r="M222" s="9" t="str">
        <f aca="false">IF(A222="","",IF(I222="","Sem código; ","")&amp;IF(G222="","Sem endereço; ","")&amp;IF(OR(C222="",E222=""),"Sem datas; ","")&amp;IF(AND(C222&lt;&gt;"",E222&lt;&gt;"",E222&lt;=C222),"Check-out antes do check-in; ",""))</f>
        <v/>
      </c>
    </row>
    <row r="223" customFormat="false" ht="15" hidden="false" customHeight="false" outlineLevel="0" collapsed="false">
      <c r="A223" s="8"/>
      <c r="B223" s="8"/>
      <c r="C223" s="7"/>
      <c r="D223" s="10"/>
      <c r="E223" s="7"/>
      <c r="F223" s="10"/>
      <c r="G223" s="8"/>
      <c r="H223" s="8"/>
      <c r="I223" s="8"/>
      <c r="J223" s="12"/>
      <c r="K223" s="8"/>
      <c r="L223" s="8"/>
      <c r="M223" s="9" t="str">
        <f aca="false">IF(A223="","",IF(I223="","Sem código; ","")&amp;IF(G223="","Sem endereço; ","")&amp;IF(OR(C223="",E223=""),"Sem datas; ","")&amp;IF(AND(C223&lt;&gt;"",E223&lt;&gt;"",E223&lt;=C223),"Check-out antes do check-in; ",""))</f>
        <v/>
      </c>
    </row>
    <row r="224" customFormat="false" ht="15" hidden="false" customHeight="false" outlineLevel="0" collapsed="false">
      <c r="A224" s="8"/>
      <c r="B224" s="8"/>
      <c r="C224" s="7"/>
      <c r="D224" s="10"/>
      <c r="E224" s="7"/>
      <c r="F224" s="10"/>
      <c r="G224" s="8"/>
      <c r="H224" s="8"/>
      <c r="I224" s="8"/>
      <c r="J224" s="12"/>
      <c r="K224" s="8"/>
      <c r="L224" s="8"/>
      <c r="M224" s="9" t="str">
        <f aca="false">IF(A224="","",IF(I224="","Sem código; ","")&amp;IF(G224="","Sem endereço; ","")&amp;IF(OR(C224="",E224=""),"Sem datas; ","")&amp;IF(AND(C224&lt;&gt;"",E224&lt;&gt;"",E224&lt;=C224),"Check-out antes do check-in; ",""))</f>
        <v/>
      </c>
    </row>
    <row r="225" customFormat="false" ht="15" hidden="false" customHeight="false" outlineLevel="0" collapsed="false">
      <c r="A225" s="8"/>
      <c r="B225" s="8"/>
      <c r="C225" s="7"/>
      <c r="D225" s="10"/>
      <c r="E225" s="7"/>
      <c r="F225" s="10"/>
      <c r="G225" s="8"/>
      <c r="H225" s="8"/>
      <c r="I225" s="8"/>
      <c r="J225" s="12"/>
      <c r="K225" s="8"/>
      <c r="L225" s="8"/>
      <c r="M225" s="9" t="str">
        <f aca="false">IF(A225="","",IF(I225="","Sem código; ","")&amp;IF(G225="","Sem endereço; ","")&amp;IF(OR(C225="",E225=""),"Sem datas; ","")&amp;IF(AND(C225&lt;&gt;"",E225&lt;&gt;"",E225&lt;=C225),"Check-out antes do check-in; ",""))</f>
        <v/>
      </c>
    </row>
    <row r="226" customFormat="false" ht="15" hidden="false" customHeight="false" outlineLevel="0" collapsed="false">
      <c r="A226" s="8"/>
      <c r="B226" s="8"/>
      <c r="C226" s="7"/>
      <c r="D226" s="10"/>
      <c r="E226" s="7"/>
      <c r="F226" s="10"/>
      <c r="G226" s="8"/>
      <c r="H226" s="8"/>
      <c r="I226" s="8"/>
      <c r="J226" s="12"/>
      <c r="K226" s="8"/>
      <c r="L226" s="8"/>
      <c r="M226" s="9" t="str">
        <f aca="false">IF(A226="","",IF(I226="","Sem código; ","")&amp;IF(G226="","Sem endereço; ","")&amp;IF(OR(C226="",E226=""),"Sem datas; ","")&amp;IF(AND(C226&lt;&gt;"",E226&lt;&gt;"",E226&lt;=C226),"Check-out antes do check-in; ",""))</f>
        <v/>
      </c>
    </row>
    <row r="227" customFormat="false" ht="15" hidden="false" customHeight="false" outlineLevel="0" collapsed="false">
      <c r="A227" s="8"/>
      <c r="B227" s="8"/>
      <c r="C227" s="7"/>
      <c r="D227" s="10"/>
      <c r="E227" s="7"/>
      <c r="F227" s="10"/>
      <c r="G227" s="8"/>
      <c r="H227" s="8"/>
      <c r="I227" s="8"/>
      <c r="J227" s="12"/>
      <c r="K227" s="8"/>
      <c r="L227" s="8"/>
      <c r="M227" s="9" t="str">
        <f aca="false">IF(A227="","",IF(I227="","Sem código; ","")&amp;IF(G227="","Sem endereço; ","")&amp;IF(OR(C227="",E227=""),"Sem datas; ","")&amp;IF(AND(C227&lt;&gt;"",E227&lt;&gt;"",E227&lt;=C227),"Check-out antes do check-in; ",""))</f>
        <v/>
      </c>
    </row>
    <row r="228" customFormat="false" ht="15" hidden="false" customHeight="false" outlineLevel="0" collapsed="false">
      <c r="A228" s="8"/>
      <c r="B228" s="8"/>
      <c r="C228" s="7"/>
      <c r="D228" s="10"/>
      <c r="E228" s="7"/>
      <c r="F228" s="10"/>
      <c r="G228" s="8"/>
      <c r="H228" s="8"/>
      <c r="I228" s="8"/>
      <c r="J228" s="12"/>
      <c r="K228" s="8"/>
      <c r="L228" s="8"/>
      <c r="M228" s="9" t="str">
        <f aca="false">IF(A228="","",IF(I228="","Sem código; ","")&amp;IF(G228="","Sem endereço; ","")&amp;IF(OR(C228="",E228=""),"Sem datas; ","")&amp;IF(AND(C228&lt;&gt;"",E228&lt;&gt;"",E228&lt;=C228),"Check-out antes do check-in; ",""))</f>
        <v/>
      </c>
    </row>
    <row r="229" customFormat="false" ht="15" hidden="false" customHeight="false" outlineLevel="0" collapsed="false">
      <c r="A229" s="8"/>
      <c r="B229" s="8"/>
      <c r="C229" s="7"/>
      <c r="D229" s="10"/>
      <c r="E229" s="7"/>
      <c r="F229" s="10"/>
      <c r="G229" s="8"/>
      <c r="H229" s="8"/>
      <c r="I229" s="8"/>
      <c r="J229" s="12"/>
      <c r="K229" s="8"/>
      <c r="L229" s="8"/>
      <c r="M229" s="9" t="str">
        <f aca="false">IF(A229="","",IF(I229="","Sem código; ","")&amp;IF(G229="","Sem endereço; ","")&amp;IF(OR(C229="",E229=""),"Sem datas; ","")&amp;IF(AND(C229&lt;&gt;"",E229&lt;&gt;"",E229&lt;=C229),"Check-out antes do check-in; ",""))</f>
        <v/>
      </c>
    </row>
    <row r="230" customFormat="false" ht="15" hidden="false" customHeight="false" outlineLevel="0" collapsed="false">
      <c r="A230" s="8"/>
      <c r="B230" s="8"/>
      <c r="C230" s="7"/>
      <c r="D230" s="10"/>
      <c r="E230" s="7"/>
      <c r="F230" s="10"/>
      <c r="G230" s="8"/>
      <c r="H230" s="8"/>
      <c r="I230" s="8"/>
      <c r="J230" s="12"/>
      <c r="K230" s="8"/>
      <c r="L230" s="8"/>
      <c r="M230" s="9" t="str">
        <f aca="false">IF(A230="","",IF(I230="","Sem código; ","")&amp;IF(G230="","Sem endereço; ","")&amp;IF(OR(C230="",E230=""),"Sem datas; ","")&amp;IF(AND(C230&lt;&gt;"",E230&lt;&gt;"",E230&lt;=C230),"Check-out antes do check-in; ",""))</f>
        <v/>
      </c>
    </row>
    <row r="231" customFormat="false" ht="15" hidden="false" customHeight="false" outlineLevel="0" collapsed="false">
      <c r="A231" s="8"/>
      <c r="B231" s="8"/>
      <c r="C231" s="7"/>
      <c r="D231" s="10"/>
      <c r="E231" s="7"/>
      <c r="F231" s="10"/>
      <c r="G231" s="8"/>
      <c r="H231" s="8"/>
      <c r="I231" s="8"/>
      <c r="J231" s="12"/>
      <c r="K231" s="8"/>
      <c r="L231" s="8"/>
      <c r="M231" s="9" t="str">
        <f aca="false">IF(A231="","",IF(I231="","Sem código; ","")&amp;IF(G231="","Sem endereço; ","")&amp;IF(OR(C231="",E231=""),"Sem datas; ","")&amp;IF(AND(C231&lt;&gt;"",E231&lt;&gt;"",E231&lt;=C231),"Check-out antes do check-in; ",""))</f>
        <v/>
      </c>
    </row>
    <row r="232" customFormat="false" ht="15" hidden="false" customHeight="false" outlineLevel="0" collapsed="false">
      <c r="A232" s="8"/>
      <c r="B232" s="8"/>
      <c r="C232" s="7"/>
      <c r="D232" s="10"/>
      <c r="E232" s="7"/>
      <c r="F232" s="10"/>
      <c r="G232" s="8"/>
      <c r="H232" s="8"/>
      <c r="I232" s="8"/>
      <c r="J232" s="12"/>
      <c r="K232" s="8"/>
      <c r="L232" s="8"/>
      <c r="M232" s="9" t="str">
        <f aca="false">IF(A232="","",IF(I232="","Sem código; ","")&amp;IF(G232="","Sem endereço; ","")&amp;IF(OR(C232="",E232=""),"Sem datas; ","")&amp;IF(AND(C232&lt;&gt;"",E232&lt;&gt;"",E232&lt;=C232),"Check-out antes do check-in; ",""))</f>
        <v/>
      </c>
    </row>
    <row r="233" customFormat="false" ht="15" hidden="false" customHeight="false" outlineLevel="0" collapsed="false">
      <c r="A233" s="8"/>
      <c r="B233" s="8"/>
      <c r="C233" s="7"/>
      <c r="D233" s="10"/>
      <c r="E233" s="7"/>
      <c r="F233" s="10"/>
      <c r="G233" s="8"/>
      <c r="H233" s="8"/>
      <c r="I233" s="8"/>
      <c r="J233" s="12"/>
      <c r="K233" s="8"/>
      <c r="L233" s="8"/>
      <c r="M233" s="9" t="str">
        <f aca="false">IF(A233="","",IF(I233="","Sem código; ","")&amp;IF(G233="","Sem endereço; ","")&amp;IF(OR(C233="",E233=""),"Sem datas; ","")&amp;IF(AND(C233&lt;&gt;"",E233&lt;&gt;"",E233&lt;=C233),"Check-out antes do check-in; ",""))</f>
        <v/>
      </c>
    </row>
    <row r="234" customFormat="false" ht="15" hidden="false" customHeight="false" outlineLevel="0" collapsed="false">
      <c r="A234" s="8"/>
      <c r="B234" s="8"/>
      <c r="C234" s="7"/>
      <c r="D234" s="10"/>
      <c r="E234" s="7"/>
      <c r="F234" s="10"/>
      <c r="G234" s="8"/>
      <c r="H234" s="8"/>
      <c r="I234" s="8"/>
      <c r="J234" s="12"/>
      <c r="K234" s="8"/>
      <c r="L234" s="8"/>
      <c r="M234" s="9" t="str">
        <f aca="false">IF(A234="","",IF(I234="","Sem código; ","")&amp;IF(G234="","Sem endereço; ","")&amp;IF(OR(C234="",E234=""),"Sem datas; ","")&amp;IF(AND(C234&lt;&gt;"",E234&lt;&gt;"",E234&lt;=C234),"Check-out antes do check-in; ",""))</f>
        <v/>
      </c>
    </row>
    <row r="235" customFormat="false" ht="15" hidden="false" customHeight="false" outlineLevel="0" collapsed="false">
      <c r="A235" s="8"/>
      <c r="B235" s="8"/>
      <c r="C235" s="7"/>
      <c r="D235" s="10"/>
      <c r="E235" s="7"/>
      <c r="F235" s="10"/>
      <c r="G235" s="8"/>
      <c r="H235" s="8"/>
      <c r="I235" s="8"/>
      <c r="J235" s="12"/>
      <c r="K235" s="8"/>
      <c r="L235" s="8"/>
      <c r="M235" s="9" t="str">
        <f aca="false">IF(A235="","",IF(I235="","Sem código; ","")&amp;IF(G235="","Sem endereço; ","")&amp;IF(OR(C235="",E235=""),"Sem datas; ","")&amp;IF(AND(C235&lt;&gt;"",E235&lt;&gt;"",E235&lt;=C235),"Check-out antes do check-in; ",""))</f>
        <v/>
      </c>
    </row>
    <row r="236" customFormat="false" ht="15" hidden="false" customHeight="false" outlineLevel="0" collapsed="false">
      <c r="A236" s="8"/>
      <c r="B236" s="8"/>
      <c r="C236" s="7"/>
      <c r="D236" s="10"/>
      <c r="E236" s="7"/>
      <c r="F236" s="10"/>
      <c r="G236" s="8"/>
      <c r="H236" s="8"/>
      <c r="I236" s="8"/>
      <c r="J236" s="12"/>
      <c r="K236" s="8"/>
      <c r="L236" s="8"/>
      <c r="M236" s="9" t="str">
        <f aca="false">IF(A236="","",IF(I236="","Sem código; ","")&amp;IF(G236="","Sem endereço; ","")&amp;IF(OR(C236="",E236=""),"Sem datas; ","")&amp;IF(AND(C236&lt;&gt;"",E236&lt;&gt;"",E236&lt;=C236),"Check-out antes do check-in; ",""))</f>
        <v/>
      </c>
    </row>
    <row r="237" customFormat="false" ht="15" hidden="false" customHeight="false" outlineLevel="0" collapsed="false">
      <c r="A237" s="8"/>
      <c r="B237" s="8"/>
      <c r="C237" s="7"/>
      <c r="D237" s="10"/>
      <c r="E237" s="7"/>
      <c r="F237" s="10"/>
      <c r="G237" s="8"/>
      <c r="H237" s="8"/>
      <c r="I237" s="8"/>
      <c r="J237" s="12"/>
      <c r="K237" s="8"/>
      <c r="L237" s="8"/>
      <c r="M237" s="9" t="str">
        <f aca="false">IF(A237="","",IF(I237="","Sem código; ","")&amp;IF(G237="","Sem endereço; ","")&amp;IF(OR(C237="",E237=""),"Sem datas; ","")&amp;IF(AND(C237&lt;&gt;"",E237&lt;&gt;"",E237&lt;=C237),"Check-out antes do check-in; ",""))</f>
        <v/>
      </c>
    </row>
    <row r="238" customFormat="false" ht="15" hidden="false" customHeight="false" outlineLevel="0" collapsed="false">
      <c r="A238" s="8"/>
      <c r="B238" s="8"/>
      <c r="C238" s="7"/>
      <c r="D238" s="10"/>
      <c r="E238" s="7"/>
      <c r="F238" s="10"/>
      <c r="G238" s="8"/>
      <c r="H238" s="8"/>
      <c r="I238" s="8"/>
      <c r="J238" s="12"/>
      <c r="K238" s="8"/>
      <c r="L238" s="8"/>
      <c r="M238" s="9" t="str">
        <f aca="false">IF(A238="","",IF(I238="","Sem código; ","")&amp;IF(G238="","Sem endereço; ","")&amp;IF(OR(C238="",E238=""),"Sem datas; ","")&amp;IF(AND(C238&lt;&gt;"",E238&lt;&gt;"",E238&lt;=C238),"Check-out antes do check-in; ",""))</f>
        <v/>
      </c>
    </row>
    <row r="239" customFormat="false" ht="15" hidden="false" customHeight="false" outlineLevel="0" collapsed="false">
      <c r="A239" s="8"/>
      <c r="B239" s="8"/>
      <c r="C239" s="7"/>
      <c r="D239" s="10"/>
      <c r="E239" s="7"/>
      <c r="F239" s="10"/>
      <c r="G239" s="8"/>
      <c r="H239" s="8"/>
      <c r="I239" s="8"/>
      <c r="J239" s="12"/>
      <c r="K239" s="8"/>
      <c r="L239" s="8"/>
      <c r="M239" s="9" t="str">
        <f aca="false">IF(A239="","",IF(I239="","Sem código; ","")&amp;IF(G239="","Sem endereço; ","")&amp;IF(OR(C239="",E239=""),"Sem datas; ","")&amp;IF(AND(C239&lt;&gt;"",E239&lt;&gt;"",E239&lt;=C239),"Check-out antes do check-in; ",""))</f>
        <v/>
      </c>
    </row>
    <row r="240" customFormat="false" ht="15" hidden="false" customHeight="false" outlineLevel="0" collapsed="false">
      <c r="A240" s="8"/>
      <c r="B240" s="8"/>
      <c r="C240" s="7"/>
      <c r="D240" s="10"/>
      <c r="E240" s="7"/>
      <c r="F240" s="10"/>
      <c r="G240" s="8"/>
      <c r="H240" s="8"/>
      <c r="I240" s="8"/>
      <c r="J240" s="12"/>
      <c r="K240" s="8"/>
      <c r="L240" s="8"/>
      <c r="M240" s="9" t="str">
        <f aca="false">IF(A240="","",IF(I240="","Sem código; ","")&amp;IF(G240="","Sem endereço; ","")&amp;IF(OR(C240="",E240=""),"Sem datas; ","")&amp;IF(AND(C240&lt;&gt;"",E240&lt;&gt;"",E240&lt;=C240),"Check-out antes do check-in; ",""))</f>
        <v/>
      </c>
    </row>
    <row r="241" customFormat="false" ht="15" hidden="false" customHeight="false" outlineLevel="0" collapsed="false">
      <c r="A241" s="8"/>
      <c r="B241" s="8"/>
      <c r="C241" s="7"/>
      <c r="D241" s="10"/>
      <c r="E241" s="7"/>
      <c r="F241" s="10"/>
      <c r="G241" s="8"/>
      <c r="H241" s="8"/>
      <c r="I241" s="8"/>
      <c r="J241" s="12"/>
      <c r="K241" s="8"/>
      <c r="L241" s="8"/>
      <c r="M241" s="9" t="str">
        <f aca="false">IF(A241="","",IF(I241="","Sem código; ","")&amp;IF(G241="","Sem endereço; ","")&amp;IF(OR(C241="",E241=""),"Sem datas; ","")&amp;IF(AND(C241&lt;&gt;"",E241&lt;&gt;"",E241&lt;=C241),"Check-out antes do check-in; ",""))</f>
        <v/>
      </c>
    </row>
    <row r="242" customFormat="false" ht="15" hidden="false" customHeight="false" outlineLevel="0" collapsed="false">
      <c r="A242" s="8"/>
      <c r="B242" s="8"/>
      <c r="C242" s="7"/>
      <c r="D242" s="10"/>
      <c r="E242" s="7"/>
      <c r="F242" s="10"/>
      <c r="G242" s="8"/>
      <c r="H242" s="8"/>
      <c r="I242" s="8"/>
      <c r="J242" s="12"/>
      <c r="K242" s="8"/>
      <c r="L242" s="8"/>
      <c r="M242" s="9" t="str">
        <f aca="false">IF(A242="","",IF(I242="","Sem código; ","")&amp;IF(G242="","Sem endereço; ","")&amp;IF(OR(C242="",E242=""),"Sem datas; ","")&amp;IF(AND(C242&lt;&gt;"",E242&lt;&gt;"",E242&lt;=C242),"Check-out antes do check-in; ",""))</f>
        <v/>
      </c>
    </row>
    <row r="243" customFormat="false" ht="15" hidden="false" customHeight="false" outlineLevel="0" collapsed="false">
      <c r="A243" s="8"/>
      <c r="B243" s="8"/>
      <c r="C243" s="7"/>
      <c r="D243" s="10"/>
      <c r="E243" s="7"/>
      <c r="F243" s="10"/>
      <c r="G243" s="8"/>
      <c r="H243" s="8"/>
      <c r="I243" s="8"/>
      <c r="J243" s="12"/>
      <c r="K243" s="8"/>
      <c r="L243" s="8"/>
      <c r="M243" s="9" t="str">
        <f aca="false">IF(A243="","",IF(I243="","Sem código; ","")&amp;IF(G243="","Sem endereço; ","")&amp;IF(OR(C243="",E243=""),"Sem datas; ","")&amp;IF(AND(C243&lt;&gt;"",E243&lt;&gt;"",E243&lt;=C243),"Check-out antes do check-in; ",""))</f>
        <v/>
      </c>
    </row>
    <row r="244" customFormat="false" ht="15" hidden="false" customHeight="false" outlineLevel="0" collapsed="false">
      <c r="A244" s="8"/>
      <c r="B244" s="8"/>
      <c r="C244" s="7"/>
      <c r="D244" s="10"/>
      <c r="E244" s="7"/>
      <c r="F244" s="10"/>
      <c r="G244" s="8"/>
      <c r="H244" s="8"/>
      <c r="I244" s="8"/>
      <c r="J244" s="12"/>
      <c r="K244" s="8"/>
      <c r="L244" s="8"/>
      <c r="M244" s="9" t="str">
        <f aca="false">IF(A244="","",IF(I244="","Sem código; ","")&amp;IF(G244="","Sem endereço; ","")&amp;IF(OR(C244="",E244=""),"Sem datas; ","")&amp;IF(AND(C244&lt;&gt;"",E244&lt;&gt;"",E244&lt;=C244),"Check-out antes do check-in; ",""))</f>
        <v/>
      </c>
    </row>
    <row r="245" customFormat="false" ht="15" hidden="false" customHeight="false" outlineLevel="0" collapsed="false">
      <c r="A245" s="8"/>
      <c r="B245" s="8"/>
      <c r="C245" s="7"/>
      <c r="D245" s="10"/>
      <c r="E245" s="7"/>
      <c r="F245" s="10"/>
      <c r="G245" s="8"/>
      <c r="H245" s="8"/>
      <c r="I245" s="8"/>
      <c r="J245" s="12"/>
      <c r="K245" s="8"/>
      <c r="L245" s="8"/>
      <c r="M245" s="9" t="str">
        <f aca="false">IF(A245="","",IF(I245="","Sem código; ","")&amp;IF(G245="","Sem endereço; ","")&amp;IF(OR(C245="",E245=""),"Sem datas; ","")&amp;IF(AND(C245&lt;&gt;"",E245&lt;&gt;"",E245&lt;=C245),"Check-out antes do check-in; ",""))</f>
        <v/>
      </c>
    </row>
    <row r="246" customFormat="false" ht="15" hidden="false" customHeight="false" outlineLevel="0" collapsed="false">
      <c r="A246" s="8"/>
      <c r="B246" s="8"/>
      <c r="C246" s="7"/>
      <c r="D246" s="10"/>
      <c r="E246" s="7"/>
      <c r="F246" s="10"/>
      <c r="G246" s="8"/>
      <c r="H246" s="8"/>
      <c r="I246" s="8"/>
      <c r="J246" s="12"/>
      <c r="K246" s="8"/>
      <c r="L246" s="8"/>
      <c r="M246" s="9" t="str">
        <f aca="false">IF(A246="","",IF(I246="","Sem código; ","")&amp;IF(G246="","Sem endereço; ","")&amp;IF(OR(C246="",E246=""),"Sem datas; ","")&amp;IF(AND(C246&lt;&gt;"",E246&lt;&gt;"",E246&lt;=C246),"Check-out antes do check-in; ",""))</f>
        <v/>
      </c>
    </row>
    <row r="247" customFormat="false" ht="15" hidden="false" customHeight="false" outlineLevel="0" collapsed="false">
      <c r="A247" s="8"/>
      <c r="B247" s="8"/>
      <c r="C247" s="7"/>
      <c r="D247" s="10"/>
      <c r="E247" s="7"/>
      <c r="F247" s="10"/>
      <c r="G247" s="8"/>
      <c r="H247" s="8"/>
      <c r="I247" s="8"/>
      <c r="J247" s="12"/>
      <c r="K247" s="8"/>
      <c r="L247" s="8"/>
      <c r="M247" s="9" t="str">
        <f aca="false">IF(A247="","",IF(I247="","Sem código; ","")&amp;IF(G247="","Sem endereço; ","")&amp;IF(OR(C247="",E247=""),"Sem datas; ","")&amp;IF(AND(C247&lt;&gt;"",E247&lt;&gt;"",E247&lt;=C247),"Check-out antes do check-in; ",""))</f>
        <v/>
      </c>
    </row>
    <row r="248" customFormat="false" ht="15" hidden="false" customHeight="false" outlineLevel="0" collapsed="false">
      <c r="A248" s="8"/>
      <c r="B248" s="8"/>
      <c r="C248" s="7"/>
      <c r="D248" s="10"/>
      <c r="E248" s="7"/>
      <c r="F248" s="10"/>
      <c r="G248" s="8"/>
      <c r="H248" s="8"/>
      <c r="I248" s="8"/>
      <c r="J248" s="12"/>
      <c r="K248" s="8"/>
      <c r="L248" s="8"/>
      <c r="M248" s="9" t="str">
        <f aca="false">IF(A248="","",IF(I248="","Sem código; ","")&amp;IF(G248="","Sem endereço; ","")&amp;IF(OR(C248="",E248=""),"Sem datas; ","")&amp;IF(AND(C248&lt;&gt;"",E248&lt;&gt;"",E248&lt;=C248),"Check-out antes do check-in; ",""))</f>
        <v/>
      </c>
    </row>
    <row r="249" customFormat="false" ht="15" hidden="false" customHeight="false" outlineLevel="0" collapsed="false">
      <c r="A249" s="8"/>
      <c r="B249" s="8"/>
      <c r="C249" s="7"/>
      <c r="D249" s="10"/>
      <c r="E249" s="7"/>
      <c r="F249" s="10"/>
      <c r="G249" s="8"/>
      <c r="H249" s="8"/>
      <c r="I249" s="8"/>
      <c r="J249" s="12"/>
      <c r="K249" s="8"/>
      <c r="L249" s="8"/>
      <c r="M249" s="9" t="str">
        <f aca="false">IF(A249="","",IF(I249="","Sem código; ","")&amp;IF(G249="","Sem endereço; ","")&amp;IF(OR(C249="",E249=""),"Sem datas; ","")&amp;IF(AND(C249&lt;&gt;"",E249&lt;&gt;"",E249&lt;=C249),"Check-out antes do check-in; ",""))</f>
        <v/>
      </c>
    </row>
    <row r="250" customFormat="false" ht="15" hidden="false" customHeight="false" outlineLevel="0" collapsed="false">
      <c r="A250" s="8"/>
      <c r="B250" s="8"/>
      <c r="C250" s="7"/>
      <c r="D250" s="10"/>
      <c r="E250" s="7"/>
      <c r="F250" s="10"/>
      <c r="G250" s="8"/>
      <c r="H250" s="8"/>
      <c r="I250" s="8"/>
      <c r="J250" s="12"/>
      <c r="K250" s="8"/>
      <c r="L250" s="8"/>
      <c r="M250" s="9" t="str">
        <f aca="false">IF(A250="","",IF(I250="","Sem código; ","")&amp;IF(G250="","Sem endereço; ","")&amp;IF(OR(C250="",E250=""),"Sem datas; ","")&amp;IF(AND(C250&lt;&gt;"",E250&lt;&gt;"",E250&lt;=C250),"Check-out antes do check-in; ",""))</f>
        <v/>
      </c>
    </row>
    <row r="251" customFormat="false" ht="15" hidden="false" customHeight="false" outlineLevel="0" collapsed="false">
      <c r="A251" s="8"/>
      <c r="B251" s="8"/>
      <c r="C251" s="7"/>
      <c r="D251" s="10"/>
      <c r="E251" s="7"/>
      <c r="F251" s="10"/>
      <c r="G251" s="8"/>
      <c r="H251" s="8"/>
      <c r="I251" s="8"/>
      <c r="J251" s="12"/>
      <c r="K251" s="8"/>
      <c r="L251" s="8"/>
      <c r="M251" s="9" t="str">
        <f aca="false">IF(A251="","",IF(I251="","Sem código; ","")&amp;IF(G251="","Sem endereço; ","")&amp;IF(OR(C251="",E251=""),"Sem datas; ","")&amp;IF(AND(C251&lt;&gt;"",E251&lt;&gt;"",E251&lt;=C251),"Check-out antes do check-in; ",""))</f>
        <v/>
      </c>
    </row>
    <row r="252" customFormat="false" ht="15" hidden="false" customHeight="false" outlineLevel="0" collapsed="false">
      <c r="A252" s="8"/>
      <c r="B252" s="8"/>
      <c r="C252" s="7"/>
      <c r="D252" s="10"/>
      <c r="E252" s="7"/>
      <c r="F252" s="10"/>
      <c r="G252" s="8"/>
      <c r="H252" s="8"/>
      <c r="I252" s="8"/>
      <c r="J252" s="12"/>
      <c r="K252" s="8"/>
      <c r="L252" s="8"/>
      <c r="M252" s="9" t="str">
        <f aca="false">IF(A252="","",IF(I252="","Sem código; ","")&amp;IF(G252="","Sem endereço; ","")&amp;IF(OR(C252="",E252=""),"Sem datas; ","")&amp;IF(AND(C252&lt;&gt;"",E252&lt;&gt;"",E252&lt;=C252),"Check-out antes do check-in; ",""))</f>
        <v/>
      </c>
    </row>
    <row r="253" customFormat="false" ht="15" hidden="false" customHeight="false" outlineLevel="0" collapsed="false">
      <c r="A253" s="8"/>
      <c r="B253" s="8"/>
      <c r="C253" s="7"/>
      <c r="D253" s="10"/>
      <c r="E253" s="7"/>
      <c r="F253" s="10"/>
      <c r="G253" s="8"/>
      <c r="H253" s="8"/>
      <c r="I253" s="8"/>
      <c r="J253" s="12"/>
      <c r="K253" s="8"/>
      <c r="L253" s="8"/>
      <c r="M253" s="9" t="str">
        <f aca="false">IF(A253="","",IF(I253="","Sem código; ","")&amp;IF(G253="","Sem endereço; ","")&amp;IF(OR(C253="",E253=""),"Sem datas; ","")&amp;IF(AND(C253&lt;&gt;"",E253&lt;&gt;"",E253&lt;=C253),"Check-out antes do check-in; ",""))</f>
        <v/>
      </c>
    </row>
    <row r="254" customFormat="false" ht="15" hidden="false" customHeight="false" outlineLevel="0" collapsed="false">
      <c r="A254" s="8"/>
      <c r="B254" s="8"/>
      <c r="C254" s="7"/>
      <c r="D254" s="10"/>
      <c r="E254" s="7"/>
      <c r="F254" s="10"/>
      <c r="G254" s="8"/>
      <c r="H254" s="8"/>
      <c r="I254" s="8"/>
      <c r="J254" s="12"/>
      <c r="K254" s="8"/>
      <c r="L254" s="8"/>
      <c r="M254" s="9" t="str">
        <f aca="false">IF(A254="","",IF(I254="","Sem código; ","")&amp;IF(G254="","Sem endereço; ","")&amp;IF(OR(C254="",E254=""),"Sem datas; ","")&amp;IF(AND(C254&lt;&gt;"",E254&lt;&gt;"",E254&lt;=C254),"Check-out antes do check-in; ",""))</f>
        <v/>
      </c>
    </row>
    <row r="255" customFormat="false" ht="15" hidden="false" customHeight="false" outlineLevel="0" collapsed="false">
      <c r="A255" s="8"/>
      <c r="B255" s="8"/>
      <c r="C255" s="7"/>
      <c r="D255" s="10"/>
      <c r="E255" s="7"/>
      <c r="F255" s="10"/>
      <c r="G255" s="8"/>
      <c r="H255" s="8"/>
      <c r="I255" s="8"/>
      <c r="J255" s="12"/>
      <c r="K255" s="8"/>
      <c r="L255" s="8"/>
      <c r="M255" s="9" t="str">
        <f aca="false">IF(A255="","",IF(I255="","Sem código; ","")&amp;IF(G255="","Sem endereço; ","")&amp;IF(OR(C255="",E255=""),"Sem datas; ","")&amp;IF(AND(C255&lt;&gt;"",E255&lt;&gt;"",E255&lt;=C255),"Check-out antes do check-in; ",""))</f>
        <v/>
      </c>
    </row>
    <row r="256" customFormat="false" ht="15" hidden="false" customHeight="false" outlineLevel="0" collapsed="false">
      <c r="A256" s="8"/>
      <c r="B256" s="8"/>
      <c r="C256" s="7"/>
      <c r="D256" s="10"/>
      <c r="E256" s="7"/>
      <c r="F256" s="10"/>
      <c r="G256" s="8"/>
      <c r="H256" s="8"/>
      <c r="I256" s="8"/>
      <c r="J256" s="12"/>
      <c r="K256" s="8"/>
      <c r="L256" s="8"/>
      <c r="M256" s="9" t="str">
        <f aca="false">IF(A256="","",IF(I256="","Sem código; ","")&amp;IF(G256="","Sem endereço; ","")&amp;IF(OR(C256="",E256=""),"Sem datas; ","")&amp;IF(AND(C256&lt;&gt;"",E256&lt;&gt;"",E256&lt;=C256),"Check-out antes do check-in; ",""))</f>
        <v/>
      </c>
    </row>
    <row r="257" customFormat="false" ht="15" hidden="false" customHeight="false" outlineLevel="0" collapsed="false">
      <c r="A257" s="8"/>
      <c r="B257" s="8"/>
      <c r="C257" s="7"/>
      <c r="D257" s="10"/>
      <c r="E257" s="7"/>
      <c r="F257" s="10"/>
      <c r="G257" s="8"/>
      <c r="H257" s="8"/>
      <c r="I257" s="8"/>
      <c r="J257" s="12"/>
      <c r="K257" s="8"/>
      <c r="L257" s="8"/>
      <c r="M257" s="9" t="str">
        <f aca="false">IF(A257="","",IF(I257="","Sem código; ","")&amp;IF(G257="","Sem endereço; ","")&amp;IF(OR(C257="",E257=""),"Sem datas; ","")&amp;IF(AND(C257&lt;&gt;"",E257&lt;&gt;"",E257&lt;=C257),"Check-out antes do check-in; ",""))</f>
        <v/>
      </c>
    </row>
    <row r="258" customFormat="false" ht="15" hidden="false" customHeight="false" outlineLevel="0" collapsed="false">
      <c r="A258" s="8"/>
      <c r="B258" s="8"/>
      <c r="C258" s="7"/>
      <c r="D258" s="10"/>
      <c r="E258" s="7"/>
      <c r="F258" s="10"/>
      <c r="G258" s="8"/>
      <c r="H258" s="8"/>
      <c r="I258" s="8"/>
      <c r="J258" s="12"/>
      <c r="K258" s="8"/>
      <c r="L258" s="8"/>
      <c r="M258" s="9" t="str">
        <f aca="false">IF(A258="","",IF(I258="","Sem código; ","")&amp;IF(G258="","Sem endereço; ","")&amp;IF(OR(C258="",E258=""),"Sem datas; ","")&amp;IF(AND(C258&lt;&gt;"",E258&lt;&gt;"",E258&lt;=C258),"Check-out antes do check-in; ",""))</f>
        <v/>
      </c>
    </row>
    <row r="259" customFormat="false" ht="15" hidden="false" customHeight="false" outlineLevel="0" collapsed="false">
      <c r="A259" s="8"/>
      <c r="B259" s="8"/>
      <c r="C259" s="7"/>
      <c r="D259" s="10"/>
      <c r="E259" s="7"/>
      <c r="F259" s="10"/>
      <c r="G259" s="8"/>
      <c r="H259" s="8"/>
      <c r="I259" s="8"/>
      <c r="J259" s="12"/>
      <c r="K259" s="8"/>
      <c r="L259" s="8"/>
      <c r="M259" s="9" t="str">
        <f aca="false">IF(A259="","",IF(I259="","Sem código; ","")&amp;IF(G259="","Sem endereço; ","")&amp;IF(OR(C259="",E259=""),"Sem datas; ","")&amp;IF(AND(C259&lt;&gt;"",E259&lt;&gt;"",E259&lt;=C259),"Check-out antes do check-in; ",""))</f>
        <v/>
      </c>
    </row>
    <row r="260" customFormat="false" ht="15" hidden="false" customHeight="false" outlineLevel="0" collapsed="false">
      <c r="A260" s="8"/>
      <c r="B260" s="8"/>
      <c r="C260" s="7"/>
      <c r="D260" s="10"/>
      <c r="E260" s="7"/>
      <c r="F260" s="10"/>
      <c r="G260" s="8"/>
      <c r="H260" s="8"/>
      <c r="I260" s="8"/>
      <c r="J260" s="12"/>
      <c r="K260" s="8"/>
      <c r="L260" s="8"/>
      <c r="M260" s="9" t="str">
        <f aca="false">IF(A260="","",IF(I260="","Sem código; ","")&amp;IF(G260="","Sem endereço; ","")&amp;IF(OR(C260="",E260=""),"Sem datas; ","")&amp;IF(AND(C260&lt;&gt;"",E260&lt;&gt;"",E260&lt;=C260),"Check-out antes do check-in; ",""))</f>
        <v/>
      </c>
    </row>
    <row r="261" customFormat="false" ht="15" hidden="false" customHeight="false" outlineLevel="0" collapsed="false">
      <c r="A261" s="8"/>
      <c r="B261" s="8"/>
      <c r="C261" s="7"/>
      <c r="D261" s="10"/>
      <c r="E261" s="7"/>
      <c r="F261" s="10"/>
      <c r="G261" s="8"/>
      <c r="H261" s="8"/>
      <c r="I261" s="8"/>
      <c r="J261" s="12"/>
      <c r="K261" s="8"/>
      <c r="L261" s="8"/>
      <c r="M261" s="9" t="str">
        <f aca="false">IF(A261="","",IF(I261="","Sem código; ","")&amp;IF(G261="","Sem endereço; ","")&amp;IF(OR(C261="",E261=""),"Sem datas; ","")&amp;IF(AND(C261&lt;&gt;"",E261&lt;&gt;"",E261&lt;=C261),"Check-out antes do check-in; ",""))</f>
        <v/>
      </c>
    </row>
    <row r="262" customFormat="false" ht="15" hidden="false" customHeight="false" outlineLevel="0" collapsed="false">
      <c r="A262" s="8"/>
      <c r="B262" s="8"/>
      <c r="C262" s="7"/>
      <c r="D262" s="10"/>
      <c r="E262" s="7"/>
      <c r="F262" s="10"/>
      <c r="G262" s="8"/>
      <c r="H262" s="8"/>
      <c r="I262" s="8"/>
      <c r="J262" s="12"/>
      <c r="K262" s="8"/>
      <c r="L262" s="8"/>
      <c r="M262" s="9" t="str">
        <f aca="false">IF(A262="","",IF(I262="","Sem código; ","")&amp;IF(G262="","Sem endereço; ","")&amp;IF(OR(C262="",E262=""),"Sem datas; ","")&amp;IF(AND(C262&lt;&gt;"",E262&lt;&gt;"",E262&lt;=C262),"Check-out antes do check-in; ",""))</f>
        <v/>
      </c>
    </row>
    <row r="263" customFormat="false" ht="15" hidden="false" customHeight="false" outlineLevel="0" collapsed="false">
      <c r="A263" s="8"/>
      <c r="B263" s="8"/>
      <c r="C263" s="7"/>
      <c r="D263" s="10"/>
      <c r="E263" s="7"/>
      <c r="F263" s="10"/>
      <c r="G263" s="8"/>
      <c r="H263" s="8"/>
      <c r="I263" s="8"/>
      <c r="J263" s="12"/>
      <c r="K263" s="8"/>
      <c r="L263" s="8"/>
      <c r="M263" s="9" t="str">
        <f aca="false">IF(A263="","",IF(I263="","Sem código; ","")&amp;IF(G263="","Sem endereço; ","")&amp;IF(OR(C263="",E263=""),"Sem datas; ","")&amp;IF(AND(C263&lt;&gt;"",E263&lt;&gt;"",E263&lt;=C263),"Check-out antes do check-in; ",""))</f>
        <v/>
      </c>
    </row>
    <row r="264" customFormat="false" ht="15" hidden="false" customHeight="false" outlineLevel="0" collapsed="false">
      <c r="A264" s="8"/>
      <c r="B264" s="8"/>
      <c r="C264" s="7"/>
      <c r="D264" s="10"/>
      <c r="E264" s="7"/>
      <c r="F264" s="10"/>
      <c r="G264" s="8"/>
      <c r="H264" s="8"/>
      <c r="I264" s="8"/>
      <c r="J264" s="12"/>
      <c r="K264" s="8"/>
      <c r="L264" s="8"/>
      <c r="M264" s="9" t="str">
        <f aca="false">IF(A264="","",IF(I264="","Sem código; ","")&amp;IF(G264="","Sem endereço; ","")&amp;IF(OR(C264="",E264=""),"Sem datas; ","")&amp;IF(AND(C264&lt;&gt;"",E264&lt;&gt;"",E264&lt;=C264),"Check-out antes do check-in; ",""))</f>
        <v/>
      </c>
    </row>
    <row r="265" customFormat="false" ht="15" hidden="false" customHeight="false" outlineLevel="0" collapsed="false">
      <c r="A265" s="8"/>
      <c r="B265" s="8"/>
      <c r="C265" s="7"/>
      <c r="D265" s="10"/>
      <c r="E265" s="7"/>
      <c r="F265" s="10"/>
      <c r="G265" s="8"/>
      <c r="H265" s="8"/>
      <c r="I265" s="8"/>
      <c r="J265" s="12"/>
      <c r="K265" s="8"/>
      <c r="L265" s="8"/>
      <c r="M265" s="9" t="str">
        <f aca="false">IF(A265="","",IF(I265="","Sem código; ","")&amp;IF(G265="","Sem endereço; ","")&amp;IF(OR(C265="",E265=""),"Sem datas; ","")&amp;IF(AND(C265&lt;&gt;"",E265&lt;&gt;"",E265&lt;=C265),"Check-out antes do check-in; ",""))</f>
        <v/>
      </c>
    </row>
    <row r="266" customFormat="false" ht="15" hidden="false" customHeight="false" outlineLevel="0" collapsed="false">
      <c r="A266" s="8"/>
      <c r="B266" s="8"/>
      <c r="C266" s="7"/>
      <c r="D266" s="10"/>
      <c r="E266" s="7"/>
      <c r="F266" s="10"/>
      <c r="G266" s="8"/>
      <c r="H266" s="8"/>
      <c r="I266" s="8"/>
      <c r="J266" s="12"/>
      <c r="K266" s="8"/>
      <c r="L266" s="8"/>
      <c r="M266" s="9" t="str">
        <f aca="false">IF(A266="","",IF(I266="","Sem código; ","")&amp;IF(G266="","Sem endereço; ","")&amp;IF(OR(C266="",E266=""),"Sem datas; ","")&amp;IF(AND(C266&lt;&gt;"",E266&lt;&gt;"",E266&lt;=C266),"Check-out antes do check-in; ",""))</f>
        <v/>
      </c>
    </row>
    <row r="267" customFormat="false" ht="15" hidden="false" customHeight="false" outlineLevel="0" collapsed="false">
      <c r="A267" s="8"/>
      <c r="B267" s="8"/>
      <c r="C267" s="7"/>
      <c r="D267" s="10"/>
      <c r="E267" s="7"/>
      <c r="F267" s="10"/>
      <c r="G267" s="8"/>
      <c r="H267" s="8"/>
      <c r="I267" s="8"/>
      <c r="J267" s="12"/>
      <c r="K267" s="8"/>
      <c r="L267" s="8"/>
      <c r="M267" s="9" t="str">
        <f aca="false">IF(A267="","",IF(I267="","Sem código; ","")&amp;IF(G267="","Sem endereço; ","")&amp;IF(OR(C267="",E267=""),"Sem datas; ","")&amp;IF(AND(C267&lt;&gt;"",E267&lt;&gt;"",E267&lt;=C267),"Check-out antes do check-in; ",""))</f>
        <v/>
      </c>
    </row>
    <row r="268" customFormat="false" ht="15" hidden="false" customHeight="false" outlineLevel="0" collapsed="false">
      <c r="A268" s="8"/>
      <c r="B268" s="8"/>
      <c r="C268" s="7"/>
      <c r="D268" s="10"/>
      <c r="E268" s="7"/>
      <c r="F268" s="10"/>
      <c r="G268" s="8"/>
      <c r="H268" s="8"/>
      <c r="I268" s="8"/>
      <c r="J268" s="12"/>
      <c r="K268" s="8"/>
      <c r="L268" s="8"/>
      <c r="M268" s="9" t="str">
        <f aca="false">IF(A268="","",IF(I268="","Sem código; ","")&amp;IF(G268="","Sem endereço; ","")&amp;IF(OR(C268="",E268=""),"Sem datas; ","")&amp;IF(AND(C268&lt;&gt;"",E268&lt;&gt;"",E268&lt;=C268),"Check-out antes do check-in; ",""))</f>
        <v/>
      </c>
    </row>
    <row r="269" customFormat="false" ht="15" hidden="false" customHeight="false" outlineLevel="0" collapsed="false">
      <c r="A269" s="8"/>
      <c r="B269" s="8"/>
      <c r="C269" s="7"/>
      <c r="D269" s="10"/>
      <c r="E269" s="7"/>
      <c r="F269" s="10"/>
      <c r="G269" s="8"/>
      <c r="H269" s="8"/>
      <c r="I269" s="8"/>
      <c r="J269" s="12"/>
      <c r="K269" s="8"/>
      <c r="L269" s="8"/>
      <c r="M269" s="9" t="str">
        <f aca="false">IF(A269="","",IF(I269="","Sem código; ","")&amp;IF(G269="","Sem endereço; ","")&amp;IF(OR(C269="",E269=""),"Sem datas; ","")&amp;IF(AND(C269&lt;&gt;"",E269&lt;&gt;"",E269&lt;=C269),"Check-out antes do check-in; ",""))</f>
        <v/>
      </c>
    </row>
    <row r="270" customFormat="false" ht="15" hidden="false" customHeight="false" outlineLevel="0" collapsed="false">
      <c r="A270" s="8"/>
      <c r="B270" s="8"/>
      <c r="C270" s="7"/>
      <c r="D270" s="10"/>
      <c r="E270" s="7"/>
      <c r="F270" s="10"/>
      <c r="G270" s="8"/>
      <c r="H270" s="8"/>
      <c r="I270" s="8"/>
      <c r="J270" s="12"/>
      <c r="K270" s="8"/>
      <c r="L270" s="8"/>
      <c r="M270" s="9" t="str">
        <f aca="false">IF(A270="","",IF(I270="","Sem código; ","")&amp;IF(G270="","Sem endereço; ","")&amp;IF(OR(C270="",E270=""),"Sem datas; ","")&amp;IF(AND(C270&lt;&gt;"",E270&lt;&gt;"",E270&lt;=C270),"Check-out antes do check-in; ",""))</f>
        <v/>
      </c>
    </row>
    <row r="271" customFormat="false" ht="15" hidden="false" customHeight="false" outlineLevel="0" collapsed="false">
      <c r="A271" s="8"/>
      <c r="B271" s="8"/>
      <c r="C271" s="7"/>
      <c r="D271" s="10"/>
      <c r="E271" s="7"/>
      <c r="F271" s="10"/>
      <c r="G271" s="8"/>
      <c r="H271" s="8"/>
      <c r="I271" s="8"/>
      <c r="J271" s="12"/>
      <c r="K271" s="8"/>
      <c r="L271" s="8"/>
      <c r="M271" s="9" t="str">
        <f aca="false">IF(A271="","",IF(I271="","Sem código; ","")&amp;IF(G271="","Sem endereço; ","")&amp;IF(OR(C271="",E271=""),"Sem datas; ","")&amp;IF(AND(C271&lt;&gt;"",E271&lt;&gt;"",E271&lt;=C271),"Check-out antes do check-in; ",""))</f>
        <v/>
      </c>
    </row>
    <row r="272" customFormat="false" ht="15" hidden="false" customHeight="false" outlineLevel="0" collapsed="false">
      <c r="A272" s="8"/>
      <c r="B272" s="8"/>
      <c r="C272" s="7"/>
      <c r="D272" s="10"/>
      <c r="E272" s="7"/>
      <c r="F272" s="10"/>
      <c r="G272" s="8"/>
      <c r="H272" s="8"/>
      <c r="I272" s="8"/>
      <c r="J272" s="12"/>
      <c r="K272" s="8"/>
      <c r="L272" s="8"/>
      <c r="M272" s="9" t="str">
        <f aca="false">IF(A272="","",IF(I272="","Sem código; ","")&amp;IF(G272="","Sem endereço; ","")&amp;IF(OR(C272="",E272=""),"Sem datas; ","")&amp;IF(AND(C272&lt;&gt;"",E272&lt;&gt;"",E272&lt;=C272),"Check-out antes do check-in; ",""))</f>
        <v/>
      </c>
    </row>
    <row r="273" customFormat="false" ht="15" hidden="false" customHeight="false" outlineLevel="0" collapsed="false">
      <c r="A273" s="8"/>
      <c r="B273" s="8"/>
      <c r="C273" s="7"/>
      <c r="D273" s="10"/>
      <c r="E273" s="7"/>
      <c r="F273" s="10"/>
      <c r="G273" s="8"/>
      <c r="H273" s="8"/>
      <c r="I273" s="8"/>
      <c r="J273" s="12"/>
      <c r="K273" s="8"/>
      <c r="L273" s="8"/>
      <c r="M273" s="9" t="str">
        <f aca="false">IF(A273="","",IF(I273="","Sem código; ","")&amp;IF(G273="","Sem endereço; ","")&amp;IF(OR(C273="",E273=""),"Sem datas; ","")&amp;IF(AND(C273&lt;&gt;"",E273&lt;&gt;"",E273&lt;=C273),"Check-out antes do check-in; ",""))</f>
        <v/>
      </c>
    </row>
    <row r="274" customFormat="false" ht="15" hidden="false" customHeight="false" outlineLevel="0" collapsed="false">
      <c r="A274" s="8"/>
      <c r="B274" s="8"/>
      <c r="C274" s="7"/>
      <c r="D274" s="10"/>
      <c r="E274" s="7"/>
      <c r="F274" s="10"/>
      <c r="G274" s="8"/>
      <c r="H274" s="8"/>
      <c r="I274" s="8"/>
      <c r="J274" s="12"/>
      <c r="K274" s="8"/>
      <c r="L274" s="8"/>
      <c r="M274" s="9" t="str">
        <f aca="false">IF(A274="","",IF(I274="","Sem código; ","")&amp;IF(G274="","Sem endereço; ","")&amp;IF(OR(C274="",E274=""),"Sem datas; ","")&amp;IF(AND(C274&lt;&gt;"",E274&lt;&gt;"",E274&lt;=C274),"Check-out antes do check-in; ",""))</f>
        <v/>
      </c>
    </row>
    <row r="275" customFormat="false" ht="15" hidden="false" customHeight="false" outlineLevel="0" collapsed="false">
      <c r="A275" s="8"/>
      <c r="B275" s="8"/>
      <c r="C275" s="7"/>
      <c r="D275" s="10"/>
      <c r="E275" s="7"/>
      <c r="F275" s="10"/>
      <c r="G275" s="8"/>
      <c r="H275" s="8"/>
      <c r="I275" s="8"/>
      <c r="J275" s="12"/>
      <c r="K275" s="8"/>
      <c r="L275" s="8"/>
      <c r="M275" s="9" t="str">
        <f aca="false">IF(A275="","",IF(I275="","Sem código; ","")&amp;IF(G275="","Sem endereço; ","")&amp;IF(OR(C275="",E275=""),"Sem datas; ","")&amp;IF(AND(C275&lt;&gt;"",E275&lt;&gt;"",E275&lt;=C275),"Check-out antes do check-in; ",""))</f>
        <v/>
      </c>
    </row>
    <row r="276" customFormat="false" ht="15" hidden="false" customHeight="false" outlineLevel="0" collapsed="false">
      <c r="A276" s="8"/>
      <c r="B276" s="8"/>
      <c r="C276" s="7"/>
      <c r="D276" s="10"/>
      <c r="E276" s="7"/>
      <c r="F276" s="10"/>
      <c r="G276" s="8"/>
      <c r="H276" s="8"/>
      <c r="I276" s="8"/>
      <c r="J276" s="12"/>
      <c r="K276" s="8"/>
      <c r="L276" s="8"/>
      <c r="M276" s="9" t="str">
        <f aca="false">IF(A276="","",IF(I276="","Sem código; ","")&amp;IF(G276="","Sem endereço; ","")&amp;IF(OR(C276="",E276=""),"Sem datas; ","")&amp;IF(AND(C276&lt;&gt;"",E276&lt;&gt;"",E276&lt;=C276),"Check-out antes do check-in; ",""))</f>
        <v/>
      </c>
    </row>
    <row r="277" customFormat="false" ht="15" hidden="false" customHeight="false" outlineLevel="0" collapsed="false">
      <c r="A277" s="8"/>
      <c r="B277" s="8"/>
      <c r="C277" s="7"/>
      <c r="D277" s="10"/>
      <c r="E277" s="7"/>
      <c r="F277" s="10"/>
      <c r="G277" s="8"/>
      <c r="H277" s="8"/>
      <c r="I277" s="8"/>
      <c r="J277" s="12"/>
      <c r="K277" s="8"/>
      <c r="L277" s="8"/>
      <c r="M277" s="9" t="str">
        <f aca="false">IF(A277="","",IF(I277="","Sem código; ","")&amp;IF(G277="","Sem endereço; ","")&amp;IF(OR(C277="",E277=""),"Sem datas; ","")&amp;IF(AND(C277&lt;&gt;"",E277&lt;&gt;"",E277&lt;=C277),"Check-out antes do check-in; ",""))</f>
        <v/>
      </c>
    </row>
    <row r="278" customFormat="false" ht="15" hidden="false" customHeight="false" outlineLevel="0" collapsed="false">
      <c r="A278" s="8"/>
      <c r="B278" s="8"/>
      <c r="C278" s="7"/>
      <c r="D278" s="10"/>
      <c r="E278" s="7"/>
      <c r="F278" s="10"/>
      <c r="G278" s="8"/>
      <c r="H278" s="8"/>
      <c r="I278" s="8"/>
      <c r="J278" s="12"/>
      <c r="K278" s="8"/>
      <c r="L278" s="8"/>
      <c r="M278" s="9" t="str">
        <f aca="false">IF(A278="","",IF(I278="","Sem código; ","")&amp;IF(G278="","Sem endereço; ","")&amp;IF(OR(C278="",E278=""),"Sem datas; ","")&amp;IF(AND(C278&lt;&gt;"",E278&lt;&gt;"",E278&lt;=C278),"Check-out antes do check-in; ",""))</f>
        <v/>
      </c>
    </row>
    <row r="279" customFormat="false" ht="15" hidden="false" customHeight="false" outlineLevel="0" collapsed="false">
      <c r="A279" s="8"/>
      <c r="B279" s="8"/>
      <c r="C279" s="7"/>
      <c r="D279" s="10"/>
      <c r="E279" s="7"/>
      <c r="F279" s="10"/>
      <c r="G279" s="8"/>
      <c r="H279" s="8"/>
      <c r="I279" s="8"/>
      <c r="J279" s="12"/>
      <c r="K279" s="8"/>
      <c r="L279" s="8"/>
      <c r="M279" s="9" t="str">
        <f aca="false">IF(A279="","",IF(I279="","Sem código; ","")&amp;IF(G279="","Sem endereço; ","")&amp;IF(OR(C279="",E279=""),"Sem datas; ","")&amp;IF(AND(C279&lt;&gt;"",E279&lt;&gt;"",E279&lt;=C279),"Check-out antes do check-in; ",""))</f>
        <v/>
      </c>
    </row>
    <row r="280" customFormat="false" ht="15" hidden="false" customHeight="false" outlineLevel="0" collapsed="false">
      <c r="A280" s="8"/>
      <c r="B280" s="8"/>
      <c r="C280" s="7"/>
      <c r="D280" s="10"/>
      <c r="E280" s="7"/>
      <c r="F280" s="10"/>
      <c r="G280" s="8"/>
      <c r="H280" s="8"/>
      <c r="I280" s="8"/>
      <c r="J280" s="12"/>
      <c r="K280" s="8"/>
      <c r="L280" s="8"/>
      <c r="M280" s="9" t="str">
        <f aca="false">IF(A280="","",IF(I280="","Sem código; ","")&amp;IF(G280="","Sem endereço; ","")&amp;IF(OR(C280="",E280=""),"Sem datas; ","")&amp;IF(AND(C280&lt;&gt;"",E280&lt;&gt;"",E280&lt;=C280),"Check-out antes do check-in; ",""))</f>
        <v/>
      </c>
    </row>
    <row r="281" customFormat="false" ht="15" hidden="false" customHeight="false" outlineLevel="0" collapsed="false">
      <c r="A281" s="8"/>
      <c r="B281" s="8"/>
      <c r="C281" s="7"/>
      <c r="D281" s="10"/>
      <c r="E281" s="7"/>
      <c r="F281" s="10"/>
      <c r="G281" s="8"/>
      <c r="H281" s="8"/>
      <c r="I281" s="8"/>
      <c r="J281" s="12"/>
      <c r="K281" s="8"/>
      <c r="L281" s="8"/>
      <c r="M281" s="9" t="str">
        <f aca="false">IF(A281="","",IF(I281="","Sem código; ","")&amp;IF(G281="","Sem endereço; ","")&amp;IF(OR(C281="",E281=""),"Sem datas; ","")&amp;IF(AND(C281&lt;&gt;"",E281&lt;&gt;"",E281&lt;=C281),"Check-out antes do check-in; ",""))</f>
        <v/>
      </c>
    </row>
    <row r="282" customFormat="false" ht="15" hidden="false" customHeight="false" outlineLevel="0" collapsed="false">
      <c r="A282" s="8"/>
      <c r="B282" s="8"/>
      <c r="C282" s="7"/>
      <c r="D282" s="10"/>
      <c r="E282" s="7"/>
      <c r="F282" s="10"/>
      <c r="G282" s="8"/>
      <c r="H282" s="8"/>
      <c r="I282" s="8"/>
      <c r="J282" s="12"/>
      <c r="K282" s="8"/>
      <c r="L282" s="8"/>
      <c r="M282" s="9" t="str">
        <f aca="false">IF(A282="","",IF(I282="","Sem código; ","")&amp;IF(G282="","Sem endereço; ","")&amp;IF(OR(C282="",E282=""),"Sem datas; ","")&amp;IF(AND(C282&lt;&gt;"",E282&lt;&gt;"",E282&lt;=C282),"Check-out antes do check-in; ",""))</f>
        <v/>
      </c>
    </row>
    <row r="283" customFormat="false" ht="15" hidden="false" customHeight="false" outlineLevel="0" collapsed="false">
      <c r="A283" s="8"/>
      <c r="B283" s="8"/>
      <c r="C283" s="7"/>
      <c r="D283" s="10"/>
      <c r="E283" s="7"/>
      <c r="F283" s="10"/>
      <c r="G283" s="8"/>
      <c r="H283" s="8"/>
      <c r="I283" s="8"/>
      <c r="J283" s="12"/>
      <c r="K283" s="8"/>
      <c r="L283" s="8"/>
      <c r="M283" s="9" t="str">
        <f aca="false">IF(A283="","",IF(I283="","Sem código; ","")&amp;IF(G283="","Sem endereço; ","")&amp;IF(OR(C283="",E283=""),"Sem datas; ","")&amp;IF(AND(C283&lt;&gt;"",E283&lt;&gt;"",E283&lt;=C283),"Check-out antes do check-in; ",""))</f>
        <v/>
      </c>
    </row>
    <row r="284" customFormat="false" ht="15" hidden="false" customHeight="false" outlineLevel="0" collapsed="false">
      <c r="A284" s="8"/>
      <c r="B284" s="8"/>
      <c r="C284" s="7"/>
      <c r="D284" s="10"/>
      <c r="E284" s="7"/>
      <c r="F284" s="10"/>
      <c r="G284" s="8"/>
      <c r="H284" s="8"/>
      <c r="I284" s="8"/>
      <c r="J284" s="12"/>
      <c r="K284" s="8"/>
      <c r="L284" s="8"/>
      <c r="M284" s="9" t="str">
        <f aca="false">IF(A284="","",IF(I284="","Sem código; ","")&amp;IF(G284="","Sem endereço; ","")&amp;IF(OR(C284="",E284=""),"Sem datas; ","")&amp;IF(AND(C284&lt;&gt;"",E284&lt;&gt;"",E284&lt;=C284),"Check-out antes do check-in; ",""))</f>
        <v/>
      </c>
    </row>
    <row r="285" customFormat="false" ht="15" hidden="false" customHeight="false" outlineLevel="0" collapsed="false">
      <c r="A285" s="8"/>
      <c r="B285" s="8"/>
      <c r="C285" s="7"/>
      <c r="D285" s="10"/>
      <c r="E285" s="7"/>
      <c r="F285" s="10"/>
      <c r="G285" s="8"/>
      <c r="H285" s="8"/>
      <c r="I285" s="8"/>
      <c r="J285" s="12"/>
      <c r="K285" s="8"/>
      <c r="L285" s="8"/>
      <c r="M285" s="9" t="str">
        <f aca="false">IF(A285="","",IF(I285="","Sem código; ","")&amp;IF(G285="","Sem endereço; ","")&amp;IF(OR(C285="",E285=""),"Sem datas; ","")&amp;IF(AND(C285&lt;&gt;"",E285&lt;&gt;"",E285&lt;=C285),"Check-out antes do check-in; ",""))</f>
        <v/>
      </c>
    </row>
    <row r="286" customFormat="false" ht="15" hidden="false" customHeight="false" outlineLevel="0" collapsed="false">
      <c r="A286" s="8"/>
      <c r="B286" s="8"/>
      <c r="C286" s="7"/>
      <c r="D286" s="10"/>
      <c r="E286" s="7"/>
      <c r="F286" s="10"/>
      <c r="G286" s="8"/>
      <c r="H286" s="8"/>
      <c r="I286" s="8"/>
      <c r="J286" s="12"/>
      <c r="K286" s="8"/>
      <c r="L286" s="8"/>
      <c r="M286" s="9" t="str">
        <f aca="false">IF(A286="","",IF(I286="","Sem código; ","")&amp;IF(G286="","Sem endereço; ","")&amp;IF(OR(C286="",E286=""),"Sem datas; ","")&amp;IF(AND(C286&lt;&gt;"",E286&lt;&gt;"",E286&lt;=C286),"Check-out antes do check-in; ",""))</f>
        <v/>
      </c>
    </row>
    <row r="287" customFormat="false" ht="15" hidden="false" customHeight="false" outlineLevel="0" collapsed="false">
      <c r="A287" s="8"/>
      <c r="B287" s="8"/>
      <c r="C287" s="7"/>
      <c r="D287" s="10"/>
      <c r="E287" s="7"/>
      <c r="F287" s="10"/>
      <c r="G287" s="8"/>
      <c r="H287" s="8"/>
      <c r="I287" s="8"/>
      <c r="J287" s="12"/>
      <c r="K287" s="8"/>
      <c r="L287" s="8"/>
      <c r="M287" s="9" t="str">
        <f aca="false">IF(A287="","",IF(I287="","Sem código; ","")&amp;IF(G287="","Sem endereço; ","")&amp;IF(OR(C287="",E287=""),"Sem datas; ","")&amp;IF(AND(C287&lt;&gt;"",E287&lt;&gt;"",E287&lt;=C287),"Check-out antes do check-in; ",""))</f>
        <v/>
      </c>
    </row>
    <row r="288" customFormat="false" ht="15" hidden="false" customHeight="false" outlineLevel="0" collapsed="false">
      <c r="A288" s="8"/>
      <c r="B288" s="8"/>
      <c r="C288" s="7"/>
      <c r="D288" s="10"/>
      <c r="E288" s="7"/>
      <c r="F288" s="10"/>
      <c r="G288" s="8"/>
      <c r="H288" s="8"/>
      <c r="I288" s="8"/>
      <c r="J288" s="12"/>
      <c r="K288" s="8"/>
      <c r="L288" s="8"/>
      <c r="M288" s="9" t="str">
        <f aca="false">IF(A288="","",IF(I288="","Sem código; ","")&amp;IF(G288="","Sem endereço; ","")&amp;IF(OR(C288="",E288=""),"Sem datas; ","")&amp;IF(AND(C288&lt;&gt;"",E288&lt;&gt;"",E288&lt;=C288),"Check-out antes do check-in; ",""))</f>
        <v/>
      </c>
    </row>
    <row r="289" customFormat="false" ht="15" hidden="false" customHeight="false" outlineLevel="0" collapsed="false">
      <c r="A289" s="8"/>
      <c r="B289" s="8"/>
      <c r="C289" s="7"/>
      <c r="D289" s="10"/>
      <c r="E289" s="7"/>
      <c r="F289" s="10"/>
      <c r="G289" s="8"/>
      <c r="H289" s="8"/>
      <c r="I289" s="8"/>
      <c r="J289" s="12"/>
      <c r="K289" s="8"/>
      <c r="L289" s="8"/>
      <c r="M289" s="9" t="str">
        <f aca="false">IF(A289="","",IF(I289="","Sem código; ","")&amp;IF(G289="","Sem endereço; ","")&amp;IF(OR(C289="",E289=""),"Sem datas; ","")&amp;IF(AND(C289&lt;&gt;"",E289&lt;&gt;"",E289&lt;=C289),"Check-out antes do check-in; ",""))</f>
        <v/>
      </c>
    </row>
    <row r="290" customFormat="false" ht="15" hidden="false" customHeight="false" outlineLevel="0" collapsed="false">
      <c r="A290" s="8"/>
      <c r="B290" s="8"/>
      <c r="C290" s="7"/>
      <c r="D290" s="10"/>
      <c r="E290" s="7"/>
      <c r="F290" s="10"/>
      <c r="G290" s="8"/>
      <c r="H290" s="8"/>
      <c r="I290" s="8"/>
      <c r="J290" s="12"/>
      <c r="K290" s="8"/>
      <c r="L290" s="8"/>
      <c r="M290" s="9" t="str">
        <f aca="false">IF(A290="","",IF(I290="","Sem código; ","")&amp;IF(G290="","Sem endereço; ","")&amp;IF(OR(C290="",E290=""),"Sem datas; ","")&amp;IF(AND(C290&lt;&gt;"",E290&lt;&gt;"",E290&lt;=C290),"Check-out antes do check-in; ",""))</f>
        <v/>
      </c>
    </row>
    <row r="291" customFormat="false" ht="15" hidden="false" customHeight="false" outlineLevel="0" collapsed="false">
      <c r="A291" s="8"/>
      <c r="B291" s="8"/>
      <c r="C291" s="7"/>
      <c r="D291" s="10"/>
      <c r="E291" s="7"/>
      <c r="F291" s="10"/>
      <c r="G291" s="8"/>
      <c r="H291" s="8"/>
      <c r="I291" s="8"/>
      <c r="J291" s="12"/>
      <c r="K291" s="8"/>
      <c r="L291" s="8"/>
      <c r="M291" s="9" t="str">
        <f aca="false">IF(A291="","",IF(I291="","Sem código; ","")&amp;IF(G291="","Sem endereço; ","")&amp;IF(OR(C291="",E291=""),"Sem datas; ","")&amp;IF(AND(C291&lt;&gt;"",E291&lt;&gt;"",E291&lt;=C291),"Check-out antes do check-in; ",""))</f>
        <v/>
      </c>
    </row>
    <row r="292" customFormat="false" ht="15" hidden="false" customHeight="false" outlineLevel="0" collapsed="false">
      <c r="A292" s="8"/>
      <c r="B292" s="8"/>
      <c r="C292" s="7"/>
      <c r="D292" s="10"/>
      <c r="E292" s="7"/>
      <c r="F292" s="10"/>
      <c r="G292" s="8"/>
      <c r="H292" s="8"/>
      <c r="I292" s="8"/>
      <c r="J292" s="12"/>
      <c r="K292" s="8"/>
      <c r="L292" s="8"/>
      <c r="M292" s="9" t="str">
        <f aca="false">IF(A292="","",IF(I292="","Sem código; ","")&amp;IF(G292="","Sem endereço; ","")&amp;IF(OR(C292="",E292=""),"Sem datas; ","")&amp;IF(AND(C292&lt;&gt;"",E292&lt;&gt;"",E292&lt;=C292),"Check-out antes do check-in; ",""))</f>
        <v/>
      </c>
    </row>
    <row r="293" customFormat="false" ht="15" hidden="false" customHeight="false" outlineLevel="0" collapsed="false">
      <c r="A293" s="8"/>
      <c r="B293" s="8"/>
      <c r="C293" s="7"/>
      <c r="D293" s="10"/>
      <c r="E293" s="7"/>
      <c r="F293" s="10"/>
      <c r="G293" s="8"/>
      <c r="H293" s="8"/>
      <c r="I293" s="8"/>
      <c r="J293" s="12"/>
      <c r="K293" s="8"/>
      <c r="L293" s="8"/>
      <c r="M293" s="9" t="str">
        <f aca="false">IF(A293="","",IF(I293="","Sem código; ","")&amp;IF(G293="","Sem endereço; ","")&amp;IF(OR(C293="",E293=""),"Sem datas; ","")&amp;IF(AND(C293&lt;&gt;"",E293&lt;&gt;"",E293&lt;=C293),"Check-out antes do check-in; ",""))</f>
        <v/>
      </c>
    </row>
    <row r="294" customFormat="false" ht="15" hidden="false" customHeight="false" outlineLevel="0" collapsed="false">
      <c r="A294" s="8"/>
      <c r="B294" s="8"/>
      <c r="C294" s="7"/>
      <c r="D294" s="10"/>
      <c r="E294" s="7"/>
      <c r="F294" s="10"/>
      <c r="G294" s="8"/>
      <c r="H294" s="8"/>
      <c r="I294" s="8"/>
      <c r="J294" s="12"/>
      <c r="K294" s="8"/>
      <c r="L294" s="8"/>
      <c r="M294" s="9" t="str">
        <f aca="false">IF(A294="","",IF(I294="","Sem código; ","")&amp;IF(G294="","Sem endereço; ","")&amp;IF(OR(C294="",E294=""),"Sem datas; ","")&amp;IF(AND(C294&lt;&gt;"",E294&lt;&gt;"",E294&lt;=C294),"Check-out antes do check-in; ",""))</f>
        <v/>
      </c>
    </row>
    <row r="295" customFormat="false" ht="15" hidden="false" customHeight="false" outlineLevel="0" collapsed="false">
      <c r="A295" s="8"/>
      <c r="B295" s="8"/>
      <c r="C295" s="7"/>
      <c r="D295" s="10"/>
      <c r="E295" s="7"/>
      <c r="F295" s="10"/>
      <c r="G295" s="8"/>
      <c r="H295" s="8"/>
      <c r="I295" s="8"/>
      <c r="J295" s="12"/>
      <c r="K295" s="8"/>
      <c r="L295" s="8"/>
      <c r="M295" s="9" t="str">
        <f aca="false">IF(A295="","",IF(I295="","Sem código; ","")&amp;IF(G295="","Sem endereço; ","")&amp;IF(OR(C295="",E295=""),"Sem datas; ","")&amp;IF(AND(C295&lt;&gt;"",E295&lt;&gt;"",E295&lt;=C295),"Check-out antes do check-in; ",""))</f>
        <v/>
      </c>
    </row>
    <row r="296" customFormat="false" ht="15" hidden="false" customHeight="false" outlineLevel="0" collapsed="false">
      <c r="A296" s="8"/>
      <c r="B296" s="8"/>
      <c r="C296" s="7"/>
      <c r="D296" s="10"/>
      <c r="E296" s="7"/>
      <c r="F296" s="10"/>
      <c r="G296" s="8"/>
      <c r="H296" s="8"/>
      <c r="I296" s="8"/>
      <c r="J296" s="12"/>
      <c r="K296" s="8"/>
      <c r="L296" s="8"/>
      <c r="M296" s="9" t="str">
        <f aca="false">IF(A296="","",IF(I296="","Sem código; ","")&amp;IF(G296="","Sem endereço; ","")&amp;IF(OR(C296="",E296=""),"Sem datas; ","")&amp;IF(AND(C296&lt;&gt;"",E296&lt;&gt;"",E296&lt;=C296),"Check-out antes do check-in; ",""))</f>
        <v/>
      </c>
    </row>
    <row r="297" customFormat="false" ht="15" hidden="false" customHeight="false" outlineLevel="0" collapsed="false">
      <c r="A297" s="8"/>
      <c r="B297" s="8"/>
      <c r="C297" s="7"/>
      <c r="D297" s="10"/>
      <c r="E297" s="7"/>
      <c r="F297" s="10"/>
      <c r="G297" s="8"/>
      <c r="H297" s="8"/>
      <c r="I297" s="8"/>
      <c r="J297" s="12"/>
      <c r="K297" s="8"/>
      <c r="L297" s="8"/>
      <c r="M297" s="9" t="str">
        <f aca="false">IF(A297="","",IF(I297="","Sem código; ","")&amp;IF(G297="","Sem endereço; ","")&amp;IF(OR(C297="",E297=""),"Sem datas; ","")&amp;IF(AND(C297&lt;&gt;"",E297&lt;&gt;"",E297&lt;=C297),"Check-out antes do check-in; ",""))</f>
        <v/>
      </c>
    </row>
    <row r="298" customFormat="false" ht="15" hidden="false" customHeight="false" outlineLevel="0" collapsed="false">
      <c r="A298" s="8"/>
      <c r="B298" s="8"/>
      <c r="C298" s="7"/>
      <c r="D298" s="10"/>
      <c r="E298" s="7"/>
      <c r="F298" s="10"/>
      <c r="G298" s="8"/>
      <c r="H298" s="8"/>
      <c r="I298" s="8"/>
      <c r="J298" s="12"/>
      <c r="K298" s="8"/>
      <c r="L298" s="8"/>
      <c r="M298" s="9" t="str">
        <f aca="false">IF(A298="","",IF(I298="","Sem código; ","")&amp;IF(G298="","Sem endereço; ","")&amp;IF(OR(C298="",E298=""),"Sem datas; ","")&amp;IF(AND(C298&lt;&gt;"",E298&lt;&gt;"",E298&lt;=C298),"Check-out antes do check-in; ",""))</f>
        <v/>
      </c>
    </row>
    <row r="299" customFormat="false" ht="15" hidden="false" customHeight="false" outlineLevel="0" collapsed="false">
      <c r="A299" s="8"/>
      <c r="B299" s="8"/>
      <c r="C299" s="7"/>
      <c r="D299" s="10"/>
      <c r="E299" s="7"/>
      <c r="F299" s="10"/>
      <c r="G299" s="8"/>
      <c r="H299" s="8"/>
      <c r="I299" s="8"/>
      <c r="J299" s="12"/>
      <c r="K299" s="8"/>
      <c r="L299" s="8"/>
      <c r="M299" s="9" t="str">
        <f aca="false">IF(A299="","",IF(I299="","Sem código; ","")&amp;IF(G299="","Sem endereço; ","")&amp;IF(OR(C299="",E299=""),"Sem datas; ","")&amp;IF(AND(C299&lt;&gt;"",E299&lt;&gt;"",E299&lt;=C299),"Check-out antes do check-in; ",""))</f>
        <v/>
      </c>
    </row>
    <row r="300" customFormat="false" ht="15" hidden="false" customHeight="false" outlineLevel="0" collapsed="false">
      <c r="A300" s="8"/>
      <c r="B300" s="8"/>
      <c r="C300" s="7"/>
      <c r="D300" s="10"/>
      <c r="E300" s="7"/>
      <c r="F300" s="10"/>
      <c r="G300" s="8"/>
      <c r="H300" s="8"/>
      <c r="I300" s="8"/>
      <c r="J300" s="12"/>
      <c r="K300" s="8"/>
      <c r="L300" s="8"/>
      <c r="M300" s="9" t="str">
        <f aca="false">IF(A300="","",IF(I300="","Sem código; ","")&amp;IF(G300="","Sem endereço; ","")&amp;IF(OR(C300="",E300=""),"Sem datas; ","")&amp;IF(AND(C300&lt;&gt;"",E300&lt;&gt;"",E300&lt;=C300),"Check-out antes do check-in; ",""))</f>
        <v/>
      </c>
    </row>
    <row r="301" customFormat="false" ht="15" hidden="false" customHeight="false" outlineLevel="0" collapsed="false">
      <c r="A301" s="8"/>
      <c r="B301" s="8"/>
      <c r="C301" s="7"/>
      <c r="D301" s="10"/>
      <c r="E301" s="7"/>
      <c r="F301" s="10"/>
      <c r="G301" s="8"/>
      <c r="H301" s="8"/>
      <c r="I301" s="8"/>
      <c r="J301" s="12"/>
      <c r="K301" s="8"/>
      <c r="L301" s="8"/>
      <c r="M301" s="9" t="str">
        <f aca="false">IF(A301="","",IF(I301="","Sem código; ","")&amp;IF(G301="","Sem endereço; ","")&amp;IF(OR(C301="",E301=""),"Sem datas; ","")&amp;IF(AND(C301&lt;&gt;"",E301&lt;&gt;"",E301&lt;=C301),"Check-out antes do check-in; ",""))</f>
        <v/>
      </c>
    </row>
  </sheetData>
  <dataValidations count="1">
    <dataValidation allowBlank="true" error="Escolha um valor da lista." errorStyle="stop" errorTitle="Valor fora da lista" operator="between" showDropDown="false" showErrorMessage="false" showInputMessage="false" sqref="K2:K301" type="list">
      <formula1>"Sim,Não"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1"/>
    <col collapsed="false" customWidth="true" hidden="false" outlineLevel="0" max="4" min="3" style="0" width="22"/>
    <col collapsed="false" customWidth="true" hidden="false" outlineLevel="0" max="6" min="5" style="0" width="9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18"/>
    <col collapsed="false" customWidth="true" hidden="false" outlineLevel="0" max="10" min="10" style="0" width="14"/>
    <col collapsed="false" customWidth="true" hidden="false" outlineLevel="0" max="11" min="11" style="0" width="12"/>
    <col collapsed="false" customWidth="true" hidden="false" outlineLevel="0" max="12" min="12" style="0" width="8"/>
    <col collapsed="false" customWidth="true" hidden="false" outlineLevel="0" max="13" min="13" style="0" width="40"/>
    <col collapsed="false" customWidth="true" hidden="false" outlineLevel="0" max="14" min="14" style="0" width="34"/>
  </cols>
  <sheetData>
    <row r="1" customFormat="false" ht="31.5" hidden="false" customHeight="true" outlineLevel="0" collapsed="false">
      <c r="A1" s="4" t="s">
        <v>26</v>
      </c>
      <c r="B1" s="4" t="s">
        <v>10</v>
      </c>
      <c r="C1" s="4" t="s">
        <v>54</v>
      </c>
      <c r="D1" s="4" t="s">
        <v>55</v>
      </c>
      <c r="E1" s="4" t="s">
        <v>56</v>
      </c>
      <c r="F1" s="5" t="s">
        <v>57</v>
      </c>
      <c r="G1" s="5" t="s">
        <v>58</v>
      </c>
      <c r="H1" s="5" t="s">
        <v>59</v>
      </c>
      <c r="I1" s="5" t="s">
        <v>39</v>
      </c>
      <c r="J1" s="5" t="s">
        <v>60</v>
      </c>
      <c r="K1" s="5" t="s">
        <v>43</v>
      </c>
      <c r="L1" s="5" t="s">
        <v>44</v>
      </c>
      <c r="M1" s="5" t="s">
        <v>45</v>
      </c>
      <c r="N1" s="6" t="s">
        <v>31</v>
      </c>
    </row>
    <row r="2" customFormat="false" ht="15" hidden="false" customHeight="false" outlineLevel="0" collapsed="false">
      <c r="A2" s="7"/>
      <c r="B2" s="8"/>
      <c r="C2" s="8"/>
      <c r="D2" s="8"/>
      <c r="E2" s="10"/>
      <c r="F2" s="10"/>
      <c r="G2" s="8"/>
      <c r="H2" s="8"/>
      <c r="I2" s="8"/>
      <c r="J2" s="8"/>
      <c r="K2" s="12"/>
      <c r="L2" s="8"/>
      <c r="M2" s="8"/>
      <c r="N2" s="9" t="str">
        <f aca="false">IF(A2="","",IF(E2="","Sem horário de partida; ","")&amp;IF(AND(B2="Voo",I2=""),"Voo sem código; ",""))</f>
        <v/>
      </c>
    </row>
    <row r="3" customFormat="false" ht="15" hidden="false" customHeight="false" outlineLevel="0" collapsed="false">
      <c r="A3" s="7"/>
      <c r="B3" s="8"/>
      <c r="C3" s="8"/>
      <c r="D3" s="8"/>
      <c r="E3" s="10"/>
      <c r="F3" s="10"/>
      <c r="G3" s="8"/>
      <c r="H3" s="8"/>
      <c r="I3" s="8"/>
      <c r="J3" s="8"/>
      <c r="K3" s="12"/>
      <c r="L3" s="8"/>
      <c r="M3" s="8"/>
      <c r="N3" s="9" t="str">
        <f aca="false">IF(A3="","",IF(E3="","Sem horário de partida; ","")&amp;IF(AND(B3="Voo",I3=""),"Voo sem código; ",""))</f>
        <v/>
      </c>
    </row>
    <row r="4" customFormat="false" ht="15" hidden="false" customHeight="false" outlineLevel="0" collapsed="false">
      <c r="A4" s="7"/>
      <c r="B4" s="8"/>
      <c r="C4" s="8"/>
      <c r="D4" s="8"/>
      <c r="E4" s="10"/>
      <c r="F4" s="10"/>
      <c r="G4" s="8"/>
      <c r="H4" s="8"/>
      <c r="I4" s="8"/>
      <c r="J4" s="8"/>
      <c r="K4" s="12"/>
      <c r="L4" s="8"/>
      <c r="M4" s="8"/>
      <c r="N4" s="9" t="str">
        <f aca="false">IF(A4="","",IF(E4="","Sem horário de partida; ","")&amp;IF(AND(B4="Voo",I4=""),"Voo sem código; ",""))</f>
        <v/>
      </c>
    </row>
    <row r="5" customFormat="false" ht="15" hidden="false" customHeight="false" outlineLevel="0" collapsed="false">
      <c r="A5" s="7"/>
      <c r="B5" s="8"/>
      <c r="C5" s="8"/>
      <c r="D5" s="8"/>
      <c r="E5" s="10"/>
      <c r="F5" s="10"/>
      <c r="G5" s="8"/>
      <c r="H5" s="8"/>
      <c r="I5" s="8"/>
      <c r="J5" s="8"/>
      <c r="K5" s="12"/>
      <c r="L5" s="8"/>
      <c r="M5" s="8"/>
      <c r="N5" s="9" t="str">
        <f aca="false">IF(A5="","",IF(E5="","Sem horário de partida; ","")&amp;IF(AND(B5="Voo",I5=""),"Voo sem código; ",""))</f>
        <v/>
      </c>
    </row>
    <row r="6" customFormat="false" ht="15" hidden="false" customHeight="false" outlineLevel="0" collapsed="false">
      <c r="A6" s="7"/>
      <c r="B6" s="8"/>
      <c r="C6" s="8"/>
      <c r="D6" s="8"/>
      <c r="E6" s="10"/>
      <c r="F6" s="10"/>
      <c r="G6" s="8"/>
      <c r="H6" s="8"/>
      <c r="I6" s="8"/>
      <c r="J6" s="8"/>
      <c r="K6" s="12"/>
      <c r="L6" s="8"/>
      <c r="M6" s="8"/>
      <c r="N6" s="9" t="str">
        <f aca="false">IF(A6="","",IF(E6="","Sem horário de partida; ","")&amp;IF(AND(B6="Voo",I6=""),"Voo sem código; ",""))</f>
        <v/>
      </c>
    </row>
    <row r="7" customFormat="false" ht="15" hidden="false" customHeight="false" outlineLevel="0" collapsed="false">
      <c r="A7" s="7"/>
      <c r="B7" s="8"/>
      <c r="C7" s="8"/>
      <c r="D7" s="8"/>
      <c r="E7" s="10"/>
      <c r="F7" s="10"/>
      <c r="G7" s="8"/>
      <c r="H7" s="8"/>
      <c r="I7" s="8"/>
      <c r="J7" s="8"/>
      <c r="K7" s="12"/>
      <c r="L7" s="8"/>
      <c r="M7" s="8"/>
      <c r="N7" s="9" t="str">
        <f aca="false">IF(A7="","",IF(E7="","Sem horário de partida; ","")&amp;IF(AND(B7="Voo",I7=""),"Voo sem código; ",""))</f>
        <v/>
      </c>
    </row>
    <row r="8" customFormat="false" ht="15" hidden="false" customHeight="false" outlineLevel="0" collapsed="false">
      <c r="A8" s="7"/>
      <c r="B8" s="8"/>
      <c r="C8" s="8"/>
      <c r="D8" s="8"/>
      <c r="E8" s="10"/>
      <c r="F8" s="10"/>
      <c r="G8" s="8"/>
      <c r="H8" s="8"/>
      <c r="I8" s="8"/>
      <c r="J8" s="8"/>
      <c r="K8" s="12"/>
      <c r="L8" s="8"/>
      <c r="M8" s="8"/>
      <c r="N8" s="9" t="str">
        <f aca="false">IF(A8="","",IF(E8="","Sem horário de partida; ","")&amp;IF(AND(B8="Voo",I8=""),"Voo sem código; ",""))</f>
        <v/>
      </c>
    </row>
    <row r="9" customFormat="false" ht="15" hidden="false" customHeight="false" outlineLevel="0" collapsed="false">
      <c r="A9" s="7"/>
      <c r="B9" s="8"/>
      <c r="C9" s="8"/>
      <c r="D9" s="8"/>
      <c r="E9" s="10"/>
      <c r="F9" s="10"/>
      <c r="G9" s="8"/>
      <c r="H9" s="8"/>
      <c r="I9" s="8"/>
      <c r="J9" s="8"/>
      <c r="K9" s="12"/>
      <c r="L9" s="8"/>
      <c r="M9" s="8"/>
      <c r="N9" s="9" t="str">
        <f aca="false">IF(A9="","",IF(E9="","Sem horário de partida; ","")&amp;IF(AND(B9="Voo",I9=""),"Voo sem código; ",""))</f>
        <v/>
      </c>
    </row>
    <row r="10" customFormat="false" ht="15" hidden="false" customHeight="false" outlineLevel="0" collapsed="false">
      <c r="A10" s="7"/>
      <c r="B10" s="8"/>
      <c r="C10" s="8"/>
      <c r="D10" s="8"/>
      <c r="E10" s="10"/>
      <c r="F10" s="10"/>
      <c r="G10" s="8"/>
      <c r="H10" s="8"/>
      <c r="I10" s="8"/>
      <c r="J10" s="8"/>
      <c r="K10" s="12"/>
      <c r="L10" s="8"/>
      <c r="M10" s="8"/>
      <c r="N10" s="9" t="str">
        <f aca="false">IF(A10="","",IF(E10="","Sem horário de partida; ","")&amp;IF(AND(B10="Voo",I10=""),"Voo sem código; ",""))</f>
        <v/>
      </c>
    </row>
    <row r="11" customFormat="false" ht="15" hidden="false" customHeight="false" outlineLevel="0" collapsed="false">
      <c r="A11" s="7"/>
      <c r="B11" s="8"/>
      <c r="C11" s="8"/>
      <c r="D11" s="8"/>
      <c r="E11" s="10"/>
      <c r="F11" s="10"/>
      <c r="G11" s="8"/>
      <c r="H11" s="8"/>
      <c r="I11" s="8"/>
      <c r="J11" s="8"/>
      <c r="K11" s="12"/>
      <c r="L11" s="8"/>
      <c r="M11" s="8"/>
      <c r="N11" s="9" t="str">
        <f aca="false">IF(A11="","",IF(E11="","Sem horário de partida; ","")&amp;IF(AND(B11="Voo",I11=""),"Voo sem código; ",""))</f>
        <v/>
      </c>
    </row>
    <row r="12" customFormat="false" ht="15" hidden="false" customHeight="false" outlineLevel="0" collapsed="false">
      <c r="A12" s="7"/>
      <c r="B12" s="8"/>
      <c r="C12" s="8"/>
      <c r="D12" s="8"/>
      <c r="E12" s="10"/>
      <c r="F12" s="10"/>
      <c r="G12" s="8"/>
      <c r="H12" s="8"/>
      <c r="I12" s="8"/>
      <c r="J12" s="8"/>
      <c r="K12" s="12"/>
      <c r="L12" s="8"/>
      <c r="M12" s="8"/>
      <c r="N12" s="9" t="str">
        <f aca="false">IF(A12="","",IF(E12="","Sem horário de partida; ","")&amp;IF(AND(B12="Voo",I12=""),"Voo sem código; ",""))</f>
        <v/>
      </c>
    </row>
    <row r="13" customFormat="false" ht="15" hidden="false" customHeight="false" outlineLevel="0" collapsed="false">
      <c r="A13" s="7"/>
      <c r="B13" s="8"/>
      <c r="C13" s="8"/>
      <c r="D13" s="8"/>
      <c r="E13" s="10"/>
      <c r="F13" s="10"/>
      <c r="G13" s="8"/>
      <c r="H13" s="8"/>
      <c r="I13" s="8"/>
      <c r="J13" s="8"/>
      <c r="K13" s="12"/>
      <c r="L13" s="8"/>
      <c r="M13" s="8"/>
      <c r="N13" s="9" t="str">
        <f aca="false">IF(A13="","",IF(E13="","Sem horário de partida; ","")&amp;IF(AND(B13="Voo",I13=""),"Voo sem código; ",""))</f>
        <v/>
      </c>
    </row>
    <row r="14" customFormat="false" ht="15" hidden="false" customHeight="false" outlineLevel="0" collapsed="false">
      <c r="A14" s="7"/>
      <c r="B14" s="8"/>
      <c r="C14" s="8"/>
      <c r="D14" s="8"/>
      <c r="E14" s="10"/>
      <c r="F14" s="10"/>
      <c r="G14" s="8"/>
      <c r="H14" s="8"/>
      <c r="I14" s="8"/>
      <c r="J14" s="8"/>
      <c r="K14" s="12"/>
      <c r="L14" s="8"/>
      <c r="M14" s="8"/>
      <c r="N14" s="9" t="str">
        <f aca="false">IF(A14="","",IF(E14="","Sem horário de partida; ","")&amp;IF(AND(B14="Voo",I14=""),"Voo sem código; ",""))</f>
        <v/>
      </c>
    </row>
    <row r="15" customFormat="false" ht="15" hidden="false" customHeight="false" outlineLevel="0" collapsed="false">
      <c r="A15" s="7"/>
      <c r="B15" s="8"/>
      <c r="C15" s="8"/>
      <c r="D15" s="8"/>
      <c r="E15" s="10"/>
      <c r="F15" s="10"/>
      <c r="G15" s="8"/>
      <c r="H15" s="8"/>
      <c r="I15" s="8"/>
      <c r="J15" s="8"/>
      <c r="K15" s="12"/>
      <c r="L15" s="8"/>
      <c r="M15" s="8"/>
      <c r="N15" s="9" t="str">
        <f aca="false">IF(A15="","",IF(E15="","Sem horário de partida; ","")&amp;IF(AND(B15="Voo",I15=""),"Voo sem código; ",""))</f>
        <v/>
      </c>
    </row>
    <row r="16" customFormat="false" ht="15" hidden="false" customHeight="false" outlineLevel="0" collapsed="false">
      <c r="A16" s="7"/>
      <c r="B16" s="8"/>
      <c r="C16" s="8"/>
      <c r="D16" s="8"/>
      <c r="E16" s="10"/>
      <c r="F16" s="10"/>
      <c r="G16" s="8"/>
      <c r="H16" s="8"/>
      <c r="I16" s="8"/>
      <c r="J16" s="8"/>
      <c r="K16" s="12"/>
      <c r="L16" s="8"/>
      <c r="M16" s="8"/>
      <c r="N16" s="9" t="str">
        <f aca="false">IF(A16="","",IF(E16="","Sem horário de partida; ","")&amp;IF(AND(B16="Voo",I16=""),"Voo sem código; ",""))</f>
        <v/>
      </c>
    </row>
    <row r="17" customFormat="false" ht="15" hidden="false" customHeight="false" outlineLevel="0" collapsed="false">
      <c r="A17" s="7"/>
      <c r="B17" s="8"/>
      <c r="C17" s="8"/>
      <c r="D17" s="8"/>
      <c r="E17" s="10"/>
      <c r="F17" s="10"/>
      <c r="G17" s="8"/>
      <c r="H17" s="8"/>
      <c r="I17" s="8"/>
      <c r="J17" s="8"/>
      <c r="K17" s="12"/>
      <c r="L17" s="8"/>
      <c r="M17" s="8"/>
      <c r="N17" s="9" t="str">
        <f aca="false">IF(A17="","",IF(E17="","Sem horário de partida; ","")&amp;IF(AND(B17="Voo",I17=""),"Voo sem código; ",""))</f>
        <v/>
      </c>
    </row>
    <row r="18" customFormat="false" ht="15" hidden="false" customHeight="false" outlineLevel="0" collapsed="false">
      <c r="A18" s="7"/>
      <c r="B18" s="8"/>
      <c r="C18" s="8"/>
      <c r="D18" s="8"/>
      <c r="E18" s="10"/>
      <c r="F18" s="10"/>
      <c r="G18" s="8"/>
      <c r="H18" s="8"/>
      <c r="I18" s="8"/>
      <c r="J18" s="8"/>
      <c r="K18" s="12"/>
      <c r="L18" s="8"/>
      <c r="M18" s="8"/>
      <c r="N18" s="9" t="str">
        <f aca="false">IF(A18="","",IF(E18="","Sem horário de partida; ","")&amp;IF(AND(B18="Voo",I18=""),"Voo sem código; ",""))</f>
        <v/>
      </c>
    </row>
    <row r="19" customFormat="false" ht="15" hidden="false" customHeight="false" outlineLevel="0" collapsed="false">
      <c r="A19" s="7"/>
      <c r="B19" s="8"/>
      <c r="C19" s="8"/>
      <c r="D19" s="8"/>
      <c r="E19" s="10"/>
      <c r="F19" s="10"/>
      <c r="G19" s="8"/>
      <c r="H19" s="8"/>
      <c r="I19" s="8"/>
      <c r="J19" s="8"/>
      <c r="K19" s="12"/>
      <c r="L19" s="8"/>
      <c r="M19" s="8"/>
      <c r="N19" s="9" t="str">
        <f aca="false">IF(A19="","",IF(E19="","Sem horário de partida; ","")&amp;IF(AND(B19="Voo",I19=""),"Voo sem código; ",""))</f>
        <v/>
      </c>
    </row>
    <row r="20" customFormat="false" ht="15" hidden="false" customHeight="false" outlineLevel="0" collapsed="false">
      <c r="A20" s="7"/>
      <c r="B20" s="8"/>
      <c r="C20" s="8"/>
      <c r="D20" s="8"/>
      <c r="E20" s="10"/>
      <c r="F20" s="10"/>
      <c r="G20" s="8"/>
      <c r="H20" s="8"/>
      <c r="I20" s="8"/>
      <c r="J20" s="8"/>
      <c r="K20" s="12"/>
      <c r="L20" s="8"/>
      <c r="M20" s="8"/>
      <c r="N20" s="9" t="str">
        <f aca="false">IF(A20="","",IF(E20="","Sem horário de partida; ","")&amp;IF(AND(B20="Voo",I20=""),"Voo sem código; ",""))</f>
        <v/>
      </c>
    </row>
    <row r="21" customFormat="false" ht="15" hidden="false" customHeight="false" outlineLevel="0" collapsed="false">
      <c r="A21" s="7"/>
      <c r="B21" s="8"/>
      <c r="C21" s="8"/>
      <c r="D21" s="8"/>
      <c r="E21" s="10"/>
      <c r="F21" s="10"/>
      <c r="G21" s="8"/>
      <c r="H21" s="8"/>
      <c r="I21" s="8"/>
      <c r="J21" s="8"/>
      <c r="K21" s="12"/>
      <c r="L21" s="8"/>
      <c r="M21" s="8"/>
      <c r="N21" s="9" t="str">
        <f aca="false">IF(A21="","",IF(E21="","Sem horário de partida; ","")&amp;IF(AND(B21="Voo",I21=""),"Voo sem código; ",""))</f>
        <v/>
      </c>
    </row>
    <row r="22" customFormat="false" ht="15" hidden="false" customHeight="false" outlineLevel="0" collapsed="false">
      <c r="A22" s="7"/>
      <c r="B22" s="8"/>
      <c r="C22" s="8"/>
      <c r="D22" s="8"/>
      <c r="E22" s="10"/>
      <c r="F22" s="10"/>
      <c r="G22" s="8"/>
      <c r="H22" s="8"/>
      <c r="I22" s="8"/>
      <c r="J22" s="8"/>
      <c r="K22" s="12"/>
      <c r="L22" s="8"/>
      <c r="M22" s="8"/>
      <c r="N22" s="9" t="str">
        <f aca="false">IF(A22="","",IF(E22="","Sem horário de partida; ","")&amp;IF(AND(B22="Voo",I22=""),"Voo sem código; ",""))</f>
        <v/>
      </c>
    </row>
    <row r="23" customFormat="false" ht="15" hidden="false" customHeight="false" outlineLevel="0" collapsed="false">
      <c r="A23" s="7"/>
      <c r="B23" s="8"/>
      <c r="C23" s="8"/>
      <c r="D23" s="8"/>
      <c r="E23" s="10"/>
      <c r="F23" s="10"/>
      <c r="G23" s="8"/>
      <c r="H23" s="8"/>
      <c r="I23" s="8"/>
      <c r="J23" s="8"/>
      <c r="K23" s="12"/>
      <c r="L23" s="8"/>
      <c r="M23" s="8"/>
      <c r="N23" s="9" t="str">
        <f aca="false">IF(A23="","",IF(E23="","Sem horário de partida; ","")&amp;IF(AND(B23="Voo",I23=""),"Voo sem código; ",""))</f>
        <v/>
      </c>
    </row>
    <row r="24" customFormat="false" ht="15" hidden="false" customHeight="false" outlineLevel="0" collapsed="false">
      <c r="A24" s="7"/>
      <c r="B24" s="8"/>
      <c r="C24" s="8"/>
      <c r="D24" s="8"/>
      <c r="E24" s="10"/>
      <c r="F24" s="10"/>
      <c r="G24" s="8"/>
      <c r="H24" s="8"/>
      <c r="I24" s="8"/>
      <c r="J24" s="8"/>
      <c r="K24" s="12"/>
      <c r="L24" s="8"/>
      <c r="M24" s="8"/>
      <c r="N24" s="9" t="str">
        <f aca="false">IF(A24="","",IF(E24="","Sem horário de partida; ","")&amp;IF(AND(B24="Voo",I24=""),"Voo sem código; ",""))</f>
        <v/>
      </c>
    </row>
    <row r="25" customFormat="false" ht="15" hidden="false" customHeight="false" outlineLevel="0" collapsed="false">
      <c r="A25" s="7"/>
      <c r="B25" s="8"/>
      <c r="C25" s="8"/>
      <c r="D25" s="8"/>
      <c r="E25" s="10"/>
      <c r="F25" s="10"/>
      <c r="G25" s="8"/>
      <c r="H25" s="8"/>
      <c r="I25" s="8"/>
      <c r="J25" s="8"/>
      <c r="K25" s="12"/>
      <c r="L25" s="8"/>
      <c r="M25" s="8"/>
      <c r="N25" s="9" t="str">
        <f aca="false">IF(A25="","",IF(E25="","Sem horário de partida; ","")&amp;IF(AND(B25="Voo",I25=""),"Voo sem código; ",""))</f>
        <v/>
      </c>
    </row>
    <row r="26" customFormat="false" ht="15" hidden="false" customHeight="false" outlineLevel="0" collapsed="false">
      <c r="A26" s="7"/>
      <c r="B26" s="8"/>
      <c r="C26" s="8"/>
      <c r="D26" s="8"/>
      <c r="E26" s="10"/>
      <c r="F26" s="10"/>
      <c r="G26" s="8"/>
      <c r="H26" s="8"/>
      <c r="I26" s="8"/>
      <c r="J26" s="8"/>
      <c r="K26" s="12"/>
      <c r="L26" s="8"/>
      <c r="M26" s="8"/>
      <c r="N26" s="9" t="str">
        <f aca="false">IF(A26="","",IF(E26="","Sem horário de partida; ","")&amp;IF(AND(B26="Voo",I26=""),"Voo sem código; ",""))</f>
        <v/>
      </c>
    </row>
    <row r="27" customFormat="false" ht="15" hidden="false" customHeight="false" outlineLevel="0" collapsed="false">
      <c r="A27" s="7"/>
      <c r="B27" s="8"/>
      <c r="C27" s="8"/>
      <c r="D27" s="8"/>
      <c r="E27" s="10"/>
      <c r="F27" s="10"/>
      <c r="G27" s="8"/>
      <c r="H27" s="8"/>
      <c r="I27" s="8"/>
      <c r="J27" s="8"/>
      <c r="K27" s="12"/>
      <c r="L27" s="8"/>
      <c r="M27" s="8"/>
      <c r="N27" s="9" t="str">
        <f aca="false">IF(A27="","",IF(E27="","Sem horário de partida; ","")&amp;IF(AND(B27="Voo",I27=""),"Voo sem código; ",""))</f>
        <v/>
      </c>
    </row>
    <row r="28" customFormat="false" ht="15" hidden="false" customHeight="false" outlineLevel="0" collapsed="false">
      <c r="A28" s="7"/>
      <c r="B28" s="8"/>
      <c r="C28" s="8"/>
      <c r="D28" s="8"/>
      <c r="E28" s="10"/>
      <c r="F28" s="10"/>
      <c r="G28" s="8"/>
      <c r="H28" s="8"/>
      <c r="I28" s="8"/>
      <c r="J28" s="8"/>
      <c r="K28" s="12"/>
      <c r="L28" s="8"/>
      <c r="M28" s="8"/>
      <c r="N28" s="9" t="str">
        <f aca="false">IF(A28="","",IF(E28="","Sem horário de partida; ","")&amp;IF(AND(B28="Voo",I28=""),"Voo sem código; ",""))</f>
        <v/>
      </c>
    </row>
    <row r="29" customFormat="false" ht="15" hidden="false" customHeight="false" outlineLevel="0" collapsed="false">
      <c r="A29" s="7"/>
      <c r="B29" s="8"/>
      <c r="C29" s="8"/>
      <c r="D29" s="8"/>
      <c r="E29" s="10"/>
      <c r="F29" s="10"/>
      <c r="G29" s="8"/>
      <c r="H29" s="8"/>
      <c r="I29" s="8"/>
      <c r="J29" s="8"/>
      <c r="K29" s="12"/>
      <c r="L29" s="8"/>
      <c r="M29" s="8"/>
      <c r="N29" s="9" t="str">
        <f aca="false">IF(A29="","",IF(E29="","Sem horário de partida; ","")&amp;IF(AND(B29="Voo",I29=""),"Voo sem código; ",""))</f>
        <v/>
      </c>
    </row>
    <row r="30" customFormat="false" ht="15" hidden="false" customHeight="false" outlineLevel="0" collapsed="false">
      <c r="A30" s="7"/>
      <c r="B30" s="8"/>
      <c r="C30" s="8"/>
      <c r="D30" s="8"/>
      <c r="E30" s="10"/>
      <c r="F30" s="10"/>
      <c r="G30" s="8"/>
      <c r="H30" s="8"/>
      <c r="I30" s="8"/>
      <c r="J30" s="8"/>
      <c r="K30" s="12"/>
      <c r="L30" s="8"/>
      <c r="M30" s="8"/>
      <c r="N30" s="9" t="str">
        <f aca="false">IF(A30="","",IF(E30="","Sem horário de partida; ","")&amp;IF(AND(B30="Voo",I30=""),"Voo sem código; ",""))</f>
        <v/>
      </c>
    </row>
    <row r="31" customFormat="false" ht="15" hidden="false" customHeight="false" outlineLevel="0" collapsed="false">
      <c r="A31" s="7"/>
      <c r="B31" s="8"/>
      <c r="C31" s="8"/>
      <c r="D31" s="8"/>
      <c r="E31" s="10"/>
      <c r="F31" s="10"/>
      <c r="G31" s="8"/>
      <c r="H31" s="8"/>
      <c r="I31" s="8"/>
      <c r="J31" s="8"/>
      <c r="K31" s="12"/>
      <c r="L31" s="8"/>
      <c r="M31" s="8"/>
      <c r="N31" s="9" t="str">
        <f aca="false">IF(A31="","",IF(E31="","Sem horário de partida; ","")&amp;IF(AND(B31="Voo",I31=""),"Voo sem código; ",""))</f>
        <v/>
      </c>
    </row>
    <row r="32" customFormat="false" ht="15" hidden="false" customHeight="false" outlineLevel="0" collapsed="false">
      <c r="A32" s="7"/>
      <c r="B32" s="8"/>
      <c r="C32" s="8"/>
      <c r="D32" s="8"/>
      <c r="E32" s="10"/>
      <c r="F32" s="10"/>
      <c r="G32" s="8"/>
      <c r="H32" s="8"/>
      <c r="I32" s="8"/>
      <c r="J32" s="8"/>
      <c r="K32" s="12"/>
      <c r="L32" s="8"/>
      <c r="M32" s="8"/>
      <c r="N32" s="9" t="str">
        <f aca="false">IF(A32="","",IF(E32="","Sem horário de partida; ","")&amp;IF(AND(B32="Voo",I32=""),"Voo sem código; ",""))</f>
        <v/>
      </c>
    </row>
    <row r="33" customFormat="false" ht="15" hidden="false" customHeight="false" outlineLevel="0" collapsed="false">
      <c r="A33" s="7"/>
      <c r="B33" s="8"/>
      <c r="C33" s="8"/>
      <c r="D33" s="8"/>
      <c r="E33" s="10"/>
      <c r="F33" s="10"/>
      <c r="G33" s="8"/>
      <c r="H33" s="8"/>
      <c r="I33" s="8"/>
      <c r="J33" s="8"/>
      <c r="K33" s="12"/>
      <c r="L33" s="8"/>
      <c r="M33" s="8"/>
      <c r="N33" s="9" t="str">
        <f aca="false">IF(A33="","",IF(E33="","Sem horário de partida; ","")&amp;IF(AND(B33="Voo",I33=""),"Voo sem código; ",""))</f>
        <v/>
      </c>
    </row>
    <row r="34" customFormat="false" ht="15" hidden="false" customHeight="false" outlineLevel="0" collapsed="false">
      <c r="A34" s="7"/>
      <c r="B34" s="8"/>
      <c r="C34" s="8"/>
      <c r="D34" s="8"/>
      <c r="E34" s="10"/>
      <c r="F34" s="10"/>
      <c r="G34" s="8"/>
      <c r="H34" s="8"/>
      <c r="I34" s="8"/>
      <c r="J34" s="8"/>
      <c r="K34" s="12"/>
      <c r="L34" s="8"/>
      <c r="M34" s="8"/>
      <c r="N34" s="9" t="str">
        <f aca="false">IF(A34="","",IF(E34="","Sem horário de partida; ","")&amp;IF(AND(B34="Voo",I34=""),"Voo sem código; ",""))</f>
        <v/>
      </c>
    </row>
    <row r="35" customFormat="false" ht="15" hidden="false" customHeight="false" outlineLevel="0" collapsed="false">
      <c r="A35" s="7"/>
      <c r="B35" s="8"/>
      <c r="C35" s="8"/>
      <c r="D35" s="8"/>
      <c r="E35" s="10"/>
      <c r="F35" s="10"/>
      <c r="G35" s="8"/>
      <c r="H35" s="8"/>
      <c r="I35" s="8"/>
      <c r="J35" s="8"/>
      <c r="K35" s="12"/>
      <c r="L35" s="8"/>
      <c r="M35" s="8"/>
      <c r="N35" s="9" t="str">
        <f aca="false">IF(A35="","",IF(E35="","Sem horário de partida; ","")&amp;IF(AND(B35="Voo",I35=""),"Voo sem código; ",""))</f>
        <v/>
      </c>
    </row>
    <row r="36" customFormat="false" ht="15" hidden="false" customHeight="false" outlineLevel="0" collapsed="false">
      <c r="A36" s="7"/>
      <c r="B36" s="8"/>
      <c r="C36" s="8"/>
      <c r="D36" s="8"/>
      <c r="E36" s="10"/>
      <c r="F36" s="10"/>
      <c r="G36" s="8"/>
      <c r="H36" s="8"/>
      <c r="I36" s="8"/>
      <c r="J36" s="8"/>
      <c r="K36" s="12"/>
      <c r="L36" s="8"/>
      <c r="M36" s="8"/>
      <c r="N36" s="9" t="str">
        <f aca="false">IF(A36="","",IF(E36="","Sem horário de partida; ","")&amp;IF(AND(B36="Voo",I36=""),"Voo sem código; ",""))</f>
        <v/>
      </c>
    </row>
    <row r="37" customFormat="false" ht="15" hidden="false" customHeight="false" outlineLevel="0" collapsed="false">
      <c r="A37" s="7"/>
      <c r="B37" s="8"/>
      <c r="C37" s="8"/>
      <c r="D37" s="8"/>
      <c r="E37" s="10"/>
      <c r="F37" s="10"/>
      <c r="G37" s="8"/>
      <c r="H37" s="8"/>
      <c r="I37" s="8"/>
      <c r="J37" s="8"/>
      <c r="K37" s="12"/>
      <c r="L37" s="8"/>
      <c r="M37" s="8"/>
      <c r="N37" s="9" t="str">
        <f aca="false">IF(A37="","",IF(E37="","Sem horário de partida; ","")&amp;IF(AND(B37="Voo",I37=""),"Voo sem código; ",""))</f>
        <v/>
      </c>
    </row>
    <row r="38" customFormat="false" ht="15" hidden="false" customHeight="false" outlineLevel="0" collapsed="false">
      <c r="A38" s="7"/>
      <c r="B38" s="8"/>
      <c r="C38" s="8"/>
      <c r="D38" s="8"/>
      <c r="E38" s="10"/>
      <c r="F38" s="10"/>
      <c r="G38" s="8"/>
      <c r="H38" s="8"/>
      <c r="I38" s="8"/>
      <c r="J38" s="8"/>
      <c r="K38" s="12"/>
      <c r="L38" s="8"/>
      <c r="M38" s="8"/>
      <c r="N38" s="9" t="str">
        <f aca="false">IF(A38="","",IF(E38="","Sem horário de partida; ","")&amp;IF(AND(B38="Voo",I38=""),"Voo sem código; ",""))</f>
        <v/>
      </c>
    </row>
    <row r="39" customFormat="false" ht="15" hidden="false" customHeight="false" outlineLevel="0" collapsed="false">
      <c r="A39" s="7"/>
      <c r="B39" s="8"/>
      <c r="C39" s="8"/>
      <c r="D39" s="8"/>
      <c r="E39" s="10"/>
      <c r="F39" s="10"/>
      <c r="G39" s="8"/>
      <c r="H39" s="8"/>
      <c r="I39" s="8"/>
      <c r="J39" s="8"/>
      <c r="K39" s="12"/>
      <c r="L39" s="8"/>
      <c r="M39" s="8"/>
      <c r="N39" s="9" t="str">
        <f aca="false">IF(A39="","",IF(E39="","Sem horário de partida; ","")&amp;IF(AND(B39="Voo",I39=""),"Voo sem código; ",""))</f>
        <v/>
      </c>
    </row>
    <row r="40" customFormat="false" ht="15" hidden="false" customHeight="false" outlineLevel="0" collapsed="false">
      <c r="A40" s="7"/>
      <c r="B40" s="8"/>
      <c r="C40" s="8"/>
      <c r="D40" s="8"/>
      <c r="E40" s="10"/>
      <c r="F40" s="10"/>
      <c r="G40" s="8"/>
      <c r="H40" s="8"/>
      <c r="I40" s="8"/>
      <c r="J40" s="8"/>
      <c r="K40" s="12"/>
      <c r="L40" s="8"/>
      <c r="M40" s="8"/>
      <c r="N40" s="9" t="str">
        <f aca="false">IF(A40="","",IF(E40="","Sem horário de partida; ","")&amp;IF(AND(B40="Voo",I40=""),"Voo sem código; ",""))</f>
        <v/>
      </c>
    </row>
    <row r="41" customFormat="false" ht="15" hidden="false" customHeight="false" outlineLevel="0" collapsed="false">
      <c r="A41" s="7"/>
      <c r="B41" s="8"/>
      <c r="C41" s="8"/>
      <c r="D41" s="8"/>
      <c r="E41" s="10"/>
      <c r="F41" s="10"/>
      <c r="G41" s="8"/>
      <c r="H41" s="8"/>
      <c r="I41" s="8"/>
      <c r="J41" s="8"/>
      <c r="K41" s="12"/>
      <c r="L41" s="8"/>
      <c r="M41" s="8"/>
      <c r="N41" s="9" t="str">
        <f aca="false">IF(A41="","",IF(E41="","Sem horário de partida; ","")&amp;IF(AND(B41="Voo",I41=""),"Voo sem código; ",""))</f>
        <v/>
      </c>
    </row>
    <row r="42" customFormat="false" ht="15" hidden="false" customHeight="false" outlineLevel="0" collapsed="false">
      <c r="A42" s="7"/>
      <c r="B42" s="8"/>
      <c r="C42" s="8"/>
      <c r="D42" s="8"/>
      <c r="E42" s="10"/>
      <c r="F42" s="10"/>
      <c r="G42" s="8"/>
      <c r="H42" s="8"/>
      <c r="I42" s="8"/>
      <c r="J42" s="8"/>
      <c r="K42" s="12"/>
      <c r="L42" s="8"/>
      <c r="M42" s="8"/>
      <c r="N42" s="9" t="str">
        <f aca="false">IF(A42="","",IF(E42="","Sem horário de partida; ","")&amp;IF(AND(B42="Voo",I42=""),"Voo sem código; ",""))</f>
        <v/>
      </c>
    </row>
    <row r="43" customFormat="false" ht="15" hidden="false" customHeight="false" outlineLevel="0" collapsed="false">
      <c r="A43" s="7"/>
      <c r="B43" s="8"/>
      <c r="C43" s="8"/>
      <c r="D43" s="8"/>
      <c r="E43" s="10"/>
      <c r="F43" s="10"/>
      <c r="G43" s="8"/>
      <c r="H43" s="8"/>
      <c r="I43" s="8"/>
      <c r="J43" s="8"/>
      <c r="K43" s="12"/>
      <c r="L43" s="8"/>
      <c r="M43" s="8"/>
      <c r="N43" s="9" t="str">
        <f aca="false">IF(A43="","",IF(E43="","Sem horário de partida; ","")&amp;IF(AND(B43="Voo",I43=""),"Voo sem código; ",""))</f>
        <v/>
      </c>
    </row>
    <row r="44" customFormat="false" ht="15" hidden="false" customHeight="false" outlineLevel="0" collapsed="false">
      <c r="A44" s="7"/>
      <c r="B44" s="8"/>
      <c r="C44" s="8"/>
      <c r="D44" s="8"/>
      <c r="E44" s="10"/>
      <c r="F44" s="10"/>
      <c r="G44" s="8"/>
      <c r="H44" s="8"/>
      <c r="I44" s="8"/>
      <c r="J44" s="8"/>
      <c r="K44" s="12"/>
      <c r="L44" s="8"/>
      <c r="M44" s="8"/>
      <c r="N44" s="9" t="str">
        <f aca="false">IF(A44="","",IF(E44="","Sem horário de partida; ","")&amp;IF(AND(B44="Voo",I44=""),"Voo sem código; ",""))</f>
        <v/>
      </c>
    </row>
    <row r="45" customFormat="false" ht="15" hidden="false" customHeight="false" outlineLevel="0" collapsed="false">
      <c r="A45" s="7"/>
      <c r="B45" s="8"/>
      <c r="C45" s="8"/>
      <c r="D45" s="8"/>
      <c r="E45" s="10"/>
      <c r="F45" s="10"/>
      <c r="G45" s="8"/>
      <c r="H45" s="8"/>
      <c r="I45" s="8"/>
      <c r="J45" s="8"/>
      <c r="K45" s="12"/>
      <c r="L45" s="8"/>
      <c r="M45" s="8"/>
      <c r="N45" s="9" t="str">
        <f aca="false">IF(A45="","",IF(E45="","Sem horário de partida; ","")&amp;IF(AND(B45="Voo",I45=""),"Voo sem código; ",""))</f>
        <v/>
      </c>
    </row>
    <row r="46" customFormat="false" ht="15" hidden="false" customHeight="false" outlineLevel="0" collapsed="false">
      <c r="A46" s="7"/>
      <c r="B46" s="8"/>
      <c r="C46" s="8"/>
      <c r="D46" s="8"/>
      <c r="E46" s="10"/>
      <c r="F46" s="10"/>
      <c r="G46" s="8"/>
      <c r="H46" s="8"/>
      <c r="I46" s="8"/>
      <c r="J46" s="8"/>
      <c r="K46" s="12"/>
      <c r="L46" s="8"/>
      <c r="M46" s="8"/>
      <c r="N46" s="9" t="str">
        <f aca="false">IF(A46="","",IF(E46="","Sem horário de partida; ","")&amp;IF(AND(B46="Voo",I46=""),"Voo sem código; ",""))</f>
        <v/>
      </c>
    </row>
    <row r="47" customFormat="false" ht="15" hidden="false" customHeight="false" outlineLevel="0" collapsed="false">
      <c r="A47" s="7"/>
      <c r="B47" s="8"/>
      <c r="C47" s="8"/>
      <c r="D47" s="8"/>
      <c r="E47" s="10"/>
      <c r="F47" s="10"/>
      <c r="G47" s="8"/>
      <c r="H47" s="8"/>
      <c r="I47" s="8"/>
      <c r="J47" s="8"/>
      <c r="K47" s="12"/>
      <c r="L47" s="8"/>
      <c r="M47" s="8"/>
      <c r="N47" s="9" t="str">
        <f aca="false">IF(A47="","",IF(E47="","Sem horário de partida; ","")&amp;IF(AND(B47="Voo",I47=""),"Voo sem código; ",""))</f>
        <v/>
      </c>
    </row>
    <row r="48" customFormat="false" ht="15" hidden="false" customHeight="false" outlineLevel="0" collapsed="false">
      <c r="A48" s="7"/>
      <c r="B48" s="8"/>
      <c r="C48" s="8"/>
      <c r="D48" s="8"/>
      <c r="E48" s="10"/>
      <c r="F48" s="10"/>
      <c r="G48" s="8"/>
      <c r="H48" s="8"/>
      <c r="I48" s="8"/>
      <c r="J48" s="8"/>
      <c r="K48" s="12"/>
      <c r="L48" s="8"/>
      <c r="M48" s="8"/>
      <c r="N48" s="9" t="str">
        <f aca="false">IF(A48="","",IF(E48="","Sem horário de partida; ","")&amp;IF(AND(B48="Voo",I48=""),"Voo sem código; ",""))</f>
        <v/>
      </c>
    </row>
    <row r="49" customFormat="false" ht="15" hidden="false" customHeight="false" outlineLevel="0" collapsed="false">
      <c r="A49" s="7"/>
      <c r="B49" s="8"/>
      <c r="C49" s="8"/>
      <c r="D49" s="8"/>
      <c r="E49" s="10"/>
      <c r="F49" s="10"/>
      <c r="G49" s="8"/>
      <c r="H49" s="8"/>
      <c r="I49" s="8"/>
      <c r="J49" s="8"/>
      <c r="K49" s="12"/>
      <c r="L49" s="8"/>
      <c r="M49" s="8"/>
      <c r="N49" s="9" t="str">
        <f aca="false">IF(A49="","",IF(E49="","Sem horário de partida; ","")&amp;IF(AND(B49="Voo",I49=""),"Voo sem código; ",""))</f>
        <v/>
      </c>
    </row>
    <row r="50" customFormat="false" ht="15" hidden="false" customHeight="false" outlineLevel="0" collapsed="false">
      <c r="A50" s="7"/>
      <c r="B50" s="8"/>
      <c r="C50" s="8"/>
      <c r="D50" s="8"/>
      <c r="E50" s="10"/>
      <c r="F50" s="10"/>
      <c r="G50" s="8"/>
      <c r="H50" s="8"/>
      <c r="I50" s="8"/>
      <c r="J50" s="8"/>
      <c r="K50" s="12"/>
      <c r="L50" s="8"/>
      <c r="M50" s="8"/>
      <c r="N50" s="9" t="str">
        <f aca="false">IF(A50="","",IF(E50="","Sem horário de partida; ","")&amp;IF(AND(B50="Voo",I50=""),"Voo sem código; ",""))</f>
        <v/>
      </c>
    </row>
    <row r="51" customFormat="false" ht="15" hidden="false" customHeight="false" outlineLevel="0" collapsed="false">
      <c r="A51" s="7"/>
      <c r="B51" s="8"/>
      <c r="C51" s="8"/>
      <c r="D51" s="8"/>
      <c r="E51" s="10"/>
      <c r="F51" s="10"/>
      <c r="G51" s="8"/>
      <c r="H51" s="8"/>
      <c r="I51" s="8"/>
      <c r="J51" s="8"/>
      <c r="K51" s="12"/>
      <c r="L51" s="8"/>
      <c r="M51" s="8"/>
      <c r="N51" s="9" t="str">
        <f aca="false">IF(A51="","",IF(E51="","Sem horário de partida; ","")&amp;IF(AND(B51="Voo",I51=""),"Voo sem código; ",""))</f>
        <v/>
      </c>
    </row>
    <row r="52" customFormat="false" ht="15" hidden="false" customHeight="false" outlineLevel="0" collapsed="false">
      <c r="A52" s="7"/>
      <c r="B52" s="8"/>
      <c r="C52" s="8"/>
      <c r="D52" s="8"/>
      <c r="E52" s="10"/>
      <c r="F52" s="10"/>
      <c r="G52" s="8"/>
      <c r="H52" s="8"/>
      <c r="I52" s="8"/>
      <c r="J52" s="8"/>
      <c r="K52" s="12"/>
      <c r="L52" s="8"/>
      <c r="M52" s="8"/>
      <c r="N52" s="9" t="str">
        <f aca="false">IF(A52="","",IF(E52="","Sem horário de partida; ","")&amp;IF(AND(B52="Voo",I52=""),"Voo sem código; ",""))</f>
        <v/>
      </c>
    </row>
    <row r="53" customFormat="false" ht="15" hidden="false" customHeight="false" outlineLevel="0" collapsed="false">
      <c r="A53" s="7"/>
      <c r="B53" s="8"/>
      <c r="C53" s="8"/>
      <c r="D53" s="8"/>
      <c r="E53" s="10"/>
      <c r="F53" s="10"/>
      <c r="G53" s="8"/>
      <c r="H53" s="8"/>
      <c r="I53" s="8"/>
      <c r="J53" s="8"/>
      <c r="K53" s="12"/>
      <c r="L53" s="8"/>
      <c r="M53" s="8"/>
      <c r="N53" s="9" t="str">
        <f aca="false">IF(A53="","",IF(E53="","Sem horário de partida; ","")&amp;IF(AND(B53="Voo",I53=""),"Voo sem código; ",""))</f>
        <v/>
      </c>
    </row>
    <row r="54" customFormat="false" ht="15" hidden="false" customHeight="false" outlineLevel="0" collapsed="false">
      <c r="A54" s="7"/>
      <c r="B54" s="8"/>
      <c r="C54" s="8"/>
      <c r="D54" s="8"/>
      <c r="E54" s="10"/>
      <c r="F54" s="10"/>
      <c r="G54" s="8"/>
      <c r="H54" s="8"/>
      <c r="I54" s="8"/>
      <c r="J54" s="8"/>
      <c r="K54" s="12"/>
      <c r="L54" s="8"/>
      <c r="M54" s="8"/>
      <c r="N54" s="9" t="str">
        <f aca="false">IF(A54="","",IF(E54="","Sem horário de partida; ","")&amp;IF(AND(B54="Voo",I54=""),"Voo sem código; ",""))</f>
        <v/>
      </c>
    </row>
    <row r="55" customFormat="false" ht="15" hidden="false" customHeight="false" outlineLevel="0" collapsed="false">
      <c r="A55" s="7"/>
      <c r="B55" s="8"/>
      <c r="C55" s="8"/>
      <c r="D55" s="8"/>
      <c r="E55" s="10"/>
      <c r="F55" s="10"/>
      <c r="G55" s="8"/>
      <c r="H55" s="8"/>
      <c r="I55" s="8"/>
      <c r="J55" s="8"/>
      <c r="K55" s="12"/>
      <c r="L55" s="8"/>
      <c r="M55" s="8"/>
      <c r="N55" s="9" t="str">
        <f aca="false">IF(A55="","",IF(E55="","Sem horário de partida; ","")&amp;IF(AND(B55="Voo",I55=""),"Voo sem código; ",""))</f>
        <v/>
      </c>
    </row>
    <row r="56" customFormat="false" ht="15" hidden="false" customHeight="false" outlineLevel="0" collapsed="false">
      <c r="A56" s="7"/>
      <c r="B56" s="8"/>
      <c r="C56" s="8"/>
      <c r="D56" s="8"/>
      <c r="E56" s="10"/>
      <c r="F56" s="10"/>
      <c r="G56" s="8"/>
      <c r="H56" s="8"/>
      <c r="I56" s="8"/>
      <c r="J56" s="8"/>
      <c r="K56" s="12"/>
      <c r="L56" s="8"/>
      <c r="M56" s="8"/>
      <c r="N56" s="9" t="str">
        <f aca="false">IF(A56="","",IF(E56="","Sem horário de partida; ","")&amp;IF(AND(B56="Voo",I56=""),"Voo sem código; ",""))</f>
        <v/>
      </c>
    </row>
    <row r="57" customFormat="false" ht="15" hidden="false" customHeight="false" outlineLevel="0" collapsed="false">
      <c r="A57" s="7"/>
      <c r="B57" s="8"/>
      <c r="C57" s="8"/>
      <c r="D57" s="8"/>
      <c r="E57" s="10"/>
      <c r="F57" s="10"/>
      <c r="G57" s="8"/>
      <c r="H57" s="8"/>
      <c r="I57" s="8"/>
      <c r="J57" s="8"/>
      <c r="K57" s="12"/>
      <c r="L57" s="8"/>
      <c r="M57" s="8"/>
      <c r="N57" s="9" t="str">
        <f aca="false">IF(A57="","",IF(E57="","Sem horário de partida; ","")&amp;IF(AND(B57="Voo",I57=""),"Voo sem código; ",""))</f>
        <v/>
      </c>
    </row>
    <row r="58" customFormat="false" ht="15" hidden="false" customHeight="false" outlineLevel="0" collapsed="false">
      <c r="A58" s="7"/>
      <c r="B58" s="8"/>
      <c r="C58" s="8"/>
      <c r="D58" s="8"/>
      <c r="E58" s="10"/>
      <c r="F58" s="10"/>
      <c r="G58" s="8"/>
      <c r="H58" s="8"/>
      <c r="I58" s="8"/>
      <c r="J58" s="8"/>
      <c r="K58" s="12"/>
      <c r="L58" s="8"/>
      <c r="M58" s="8"/>
      <c r="N58" s="9" t="str">
        <f aca="false">IF(A58="","",IF(E58="","Sem horário de partida; ","")&amp;IF(AND(B58="Voo",I58=""),"Voo sem código; ",""))</f>
        <v/>
      </c>
    </row>
    <row r="59" customFormat="false" ht="15" hidden="false" customHeight="false" outlineLevel="0" collapsed="false">
      <c r="A59" s="7"/>
      <c r="B59" s="8"/>
      <c r="C59" s="8"/>
      <c r="D59" s="8"/>
      <c r="E59" s="10"/>
      <c r="F59" s="10"/>
      <c r="G59" s="8"/>
      <c r="H59" s="8"/>
      <c r="I59" s="8"/>
      <c r="J59" s="8"/>
      <c r="K59" s="12"/>
      <c r="L59" s="8"/>
      <c r="M59" s="8"/>
      <c r="N59" s="9" t="str">
        <f aca="false">IF(A59="","",IF(E59="","Sem horário de partida; ","")&amp;IF(AND(B59="Voo",I59=""),"Voo sem código; ",""))</f>
        <v/>
      </c>
    </row>
    <row r="60" customFormat="false" ht="15" hidden="false" customHeight="false" outlineLevel="0" collapsed="false">
      <c r="A60" s="7"/>
      <c r="B60" s="8"/>
      <c r="C60" s="8"/>
      <c r="D60" s="8"/>
      <c r="E60" s="10"/>
      <c r="F60" s="10"/>
      <c r="G60" s="8"/>
      <c r="H60" s="8"/>
      <c r="I60" s="8"/>
      <c r="J60" s="8"/>
      <c r="K60" s="12"/>
      <c r="L60" s="8"/>
      <c r="M60" s="8"/>
      <c r="N60" s="9" t="str">
        <f aca="false">IF(A60="","",IF(E60="","Sem horário de partida; ","")&amp;IF(AND(B60="Voo",I60=""),"Voo sem código; ",""))</f>
        <v/>
      </c>
    </row>
    <row r="61" customFormat="false" ht="15" hidden="false" customHeight="false" outlineLevel="0" collapsed="false">
      <c r="A61" s="7"/>
      <c r="B61" s="8"/>
      <c r="C61" s="8"/>
      <c r="D61" s="8"/>
      <c r="E61" s="10"/>
      <c r="F61" s="10"/>
      <c r="G61" s="8"/>
      <c r="H61" s="8"/>
      <c r="I61" s="8"/>
      <c r="J61" s="8"/>
      <c r="K61" s="12"/>
      <c r="L61" s="8"/>
      <c r="M61" s="8"/>
      <c r="N61" s="9" t="str">
        <f aca="false">IF(A61="","",IF(E61="","Sem horário de partida; ","")&amp;IF(AND(B61="Voo",I61=""),"Voo sem código; ",""))</f>
        <v/>
      </c>
    </row>
    <row r="62" customFormat="false" ht="15" hidden="false" customHeight="false" outlineLevel="0" collapsed="false">
      <c r="A62" s="7"/>
      <c r="B62" s="8"/>
      <c r="C62" s="8"/>
      <c r="D62" s="8"/>
      <c r="E62" s="10"/>
      <c r="F62" s="10"/>
      <c r="G62" s="8"/>
      <c r="H62" s="8"/>
      <c r="I62" s="8"/>
      <c r="J62" s="8"/>
      <c r="K62" s="12"/>
      <c r="L62" s="8"/>
      <c r="M62" s="8"/>
      <c r="N62" s="9" t="str">
        <f aca="false">IF(A62="","",IF(E62="","Sem horário de partida; ","")&amp;IF(AND(B62="Voo",I62=""),"Voo sem código; ",""))</f>
        <v/>
      </c>
    </row>
    <row r="63" customFormat="false" ht="15" hidden="false" customHeight="false" outlineLevel="0" collapsed="false">
      <c r="A63" s="7"/>
      <c r="B63" s="8"/>
      <c r="C63" s="8"/>
      <c r="D63" s="8"/>
      <c r="E63" s="10"/>
      <c r="F63" s="10"/>
      <c r="G63" s="8"/>
      <c r="H63" s="8"/>
      <c r="I63" s="8"/>
      <c r="J63" s="8"/>
      <c r="K63" s="12"/>
      <c r="L63" s="8"/>
      <c r="M63" s="8"/>
      <c r="N63" s="9" t="str">
        <f aca="false">IF(A63="","",IF(E63="","Sem horário de partida; ","")&amp;IF(AND(B63="Voo",I63=""),"Voo sem código; ",""))</f>
        <v/>
      </c>
    </row>
    <row r="64" customFormat="false" ht="15" hidden="false" customHeight="false" outlineLevel="0" collapsed="false">
      <c r="A64" s="7"/>
      <c r="B64" s="8"/>
      <c r="C64" s="8"/>
      <c r="D64" s="8"/>
      <c r="E64" s="10"/>
      <c r="F64" s="10"/>
      <c r="G64" s="8"/>
      <c r="H64" s="8"/>
      <c r="I64" s="8"/>
      <c r="J64" s="8"/>
      <c r="K64" s="12"/>
      <c r="L64" s="8"/>
      <c r="M64" s="8"/>
      <c r="N64" s="9" t="str">
        <f aca="false">IF(A64="","",IF(E64="","Sem horário de partida; ","")&amp;IF(AND(B64="Voo",I64=""),"Voo sem código; ",""))</f>
        <v/>
      </c>
    </row>
    <row r="65" customFormat="false" ht="15" hidden="false" customHeight="false" outlineLevel="0" collapsed="false">
      <c r="A65" s="7"/>
      <c r="B65" s="8"/>
      <c r="C65" s="8"/>
      <c r="D65" s="8"/>
      <c r="E65" s="10"/>
      <c r="F65" s="10"/>
      <c r="G65" s="8"/>
      <c r="H65" s="8"/>
      <c r="I65" s="8"/>
      <c r="J65" s="8"/>
      <c r="K65" s="12"/>
      <c r="L65" s="8"/>
      <c r="M65" s="8"/>
      <c r="N65" s="9" t="str">
        <f aca="false">IF(A65="","",IF(E65="","Sem horário de partida; ","")&amp;IF(AND(B65="Voo",I65=""),"Voo sem código; ",""))</f>
        <v/>
      </c>
    </row>
    <row r="66" customFormat="false" ht="15" hidden="false" customHeight="false" outlineLevel="0" collapsed="false">
      <c r="A66" s="7"/>
      <c r="B66" s="8"/>
      <c r="C66" s="8"/>
      <c r="D66" s="8"/>
      <c r="E66" s="10"/>
      <c r="F66" s="10"/>
      <c r="G66" s="8"/>
      <c r="H66" s="8"/>
      <c r="I66" s="8"/>
      <c r="J66" s="8"/>
      <c r="K66" s="12"/>
      <c r="L66" s="8"/>
      <c r="M66" s="8"/>
      <c r="N66" s="9" t="str">
        <f aca="false">IF(A66="","",IF(E66="","Sem horário de partida; ","")&amp;IF(AND(B66="Voo",I66=""),"Voo sem código; ",""))</f>
        <v/>
      </c>
    </row>
    <row r="67" customFormat="false" ht="15" hidden="false" customHeight="false" outlineLevel="0" collapsed="false">
      <c r="A67" s="7"/>
      <c r="B67" s="8"/>
      <c r="C67" s="8"/>
      <c r="D67" s="8"/>
      <c r="E67" s="10"/>
      <c r="F67" s="10"/>
      <c r="G67" s="8"/>
      <c r="H67" s="8"/>
      <c r="I67" s="8"/>
      <c r="J67" s="8"/>
      <c r="K67" s="12"/>
      <c r="L67" s="8"/>
      <c r="M67" s="8"/>
      <c r="N67" s="9" t="str">
        <f aca="false">IF(A67="","",IF(E67="","Sem horário de partida; ","")&amp;IF(AND(B67="Voo",I67=""),"Voo sem código; ",""))</f>
        <v/>
      </c>
    </row>
    <row r="68" customFormat="false" ht="15" hidden="false" customHeight="false" outlineLevel="0" collapsed="false">
      <c r="A68" s="7"/>
      <c r="B68" s="8"/>
      <c r="C68" s="8"/>
      <c r="D68" s="8"/>
      <c r="E68" s="10"/>
      <c r="F68" s="10"/>
      <c r="G68" s="8"/>
      <c r="H68" s="8"/>
      <c r="I68" s="8"/>
      <c r="J68" s="8"/>
      <c r="K68" s="12"/>
      <c r="L68" s="8"/>
      <c r="M68" s="8"/>
      <c r="N68" s="9" t="str">
        <f aca="false">IF(A68="","",IF(E68="","Sem horário de partida; ","")&amp;IF(AND(B68="Voo",I68=""),"Voo sem código; ",""))</f>
        <v/>
      </c>
    </row>
    <row r="69" customFormat="false" ht="15" hidden="false" customHeight="false" outlineLevel="0" collapsed="false">
      <c r="A69" s="7"/>
      <c r="B69" s="8"/>
      <c r="C69" s="8"/>
      <c r="D69" s="8"/>
      <c r="E69" s="10"/>
      <c r="F69" s="10"/>
      <c r="G69" s="8"/>
      <c r="H69" s="8"/>
      <c r="I69" s="8"/>
      <c r="J69" s="8"/>
      <c r="K69" s="12"/>
      <c r="L69" s="8"/>
      <c r="M69" s="8"/>
      <c r="N69" s="9" t="str">
        <f aca="false">IF(A69="","",IF(E69="","Sem horário de partida; ","")&amp;IF(AND(B69="Voo",I69=""),"Voo sem código; ",""))</f>
        <v/>
      </c>
    </row>
    <row r="70" customFormat="false" ht="15" hidden="false" customHeight="false" outlineLevel="0" collapsed="false">
      <c r="A70" s="7"/>
      <c r="B70" s="8"/>
      <c r="C70" s="8"/>
      <c r="D70" s="8"/>
      <c r="E70" s="10"/>
      <c r="F70" s="10"/>
      <c r="G70" s="8"/>
      <c r="H70" s="8"/>
      <c r="I70" s="8"/>
      <c r="J70" s="8"/>
      <c r="K70" s="12"/>
      <c r="L70" s="8"/>
      <c r="M70" s="8"/>
      <c r="N70" s="9" t="str">
        <f aca="false">IF(A70="","",IF(E70="","Sem horário de partida; ","")&amp;IF(AND(B70="Voo",I70=""),"Voo sem código; ",""))</f>
        <v/>
      </c>
    </row>
    <row r="71" customFormat="false" ht="15" hidden="false" customHeight="false" outlineLevel="0" collapsed="false">
      <c r="A71" s="7"/>
      <c r="B71" s="8"/>
      <c r="C71" s="8"/>
      <c r="D71" s="8"/>
      <c r="E71" s="10"/>
      <c r="F71" s="10"/>
      <c r="G71" s="8"/>
      <c r="H71" s="8"/>
      <c r="I71" s="8"/>
      <c r="J71" s="8"/>
      <c r="K71" s="12"/>
      <c r="L71" s="8"/>
      <c r="M71" s="8"/>
      <c r="N71" s="9" t="str">
        <f aca="false">IF(A71="","",IF(E71="","Sem horário de partida; ","")&amp;IF(AND(B71="Voo",I71=""),"Voo sem código; ",""))</f>
        <v/>
      </c>
    </row>
    <row r="72" customFormat="false" ht="15" hidden="false" customHeight="false" outlineLevel="0" collapsed="false">
      <c r="A72" s="7"/>
      <c r="B72" s="8"/>
      <c r="C72" s="8"/>
      <c r="D72" s="8"/>
      <c r="E72" s="10"/>
      <c r="F72" s="10"/>
      <c r="G72" s="8"/>
      <c r="H72" s="8"/>
      <c r="I72" s="8"/>
      <c r="J72" s="8"/>
      <c r="K72" s="12"/>
      <c r="L72" s="8"/>
      <c r="M72" s="8"/>
      <c r="N72" s="9" t="str">
        <f aca="false">IF(A72="","",IF(E72="","Sem horário de partida; ","")&amp;IF(AND(B72="Voo",I72=""),"Voo sem código; ",""))</f>
        <v/>
      </c>
    </row>
    <row r="73" customFormat="false" ht="15" hidden="false" customHeight="false" outlineLevel="0" collapsed="false">
      <c r="A73" s="7"/>
      <c r="B73" s="8"/>
      <c r="C73" s="8"/>
      <c r="D73" s="8"/>
      <c r="E73" s="10"/>
      <c r="F73" s="10"/>
      <c r="G73" s="8"/>
      <c r="H73" s="8"/>
      <c r="I73" s="8"/>
      <c r="J73" s="8"/>
      <c r="K73" s="12"/>
      <c r="L73" s="8"/>
      <c r="M73" s="8"/>
      <c r="N73" s="9" t="str">
        <f aca="false">IF(A73="","",IF(E73="","Sem horário de partida; ","")&amp;IF(AND(B73="Voo",I73=""),"Voo sem código; ",""))</f>
        <v/>
      </c>
    </row>
    <row r="74" customFormat="false" ht="15" hidden="false" customHeight="false" outlineLevel="0" collapsed="false">
      <c r="A74" s="7"/>
      <c r="B74" s="8"/>
      <c r="C74" s="8"/>
      <c r="D74" s="8"/>
      <c r="E74" s="10"/>
      <c r="F74" s="10"/>
      <c r="G74" s="8"/>
      <c r="H74" s="8"/>
      <c r="I74" s="8"/>
      <c r="J74" s="8"/>
      <c r="K74" s="12"/>
      <c r="L74" s="8"/>
      <c r="M74" s="8"/>
      <c r="N74" s="9" t="str">
        <f aca="false">IF(A74="","",IF(E74="","Sem horário de partida; ","")&amp;IF(AND(B74="Voo",I74=""),"Voo sem código; ",""))</f>
        <v/>
      </c>
    </row>
    <row r="75" customFormat="false" ht="15" hidden="false" customHeight="false" outlineLevel="0" collapsed="false">
      <c r="A75" s="7"/>
      <c r="B75" s="8"/>
      <c r="C75" s="8"/>
      <c r="D75" s="8"/>
      <c r="E75" s="10"/>
      <c r="F75" s="10"/>
      <c r="G75" s="8"/>
      <c r="H75" s="8"/>
      <c r="I75" s="8"/>
      <c r="J75" s="8"/>
      <c r="K75" s="12"/>
      <c r="L75" s="8"/>
      <c r="M75" s="8"/>
      <c r="N75" s="9" t="str">
        <f aca="false">IF(A75="","",IF(E75="","Sem horário de partida; ","")&amp;IF(AND(B75="Voo",I75=""),"Voo sem código; ",""))</f>
        <v/>
      </c>
    </row>
    <row r="76" customFormat="false" ht="15" hidden="false" customHeight="false" outlineLevel="0" collapsed="false">
      <c r="A76" s="7"/>
      <c r="B76" s="8"/>
      <c r="C76" s="8"/>
      <c r="D76" s="8"/>
      <c r="E76" s="10"/>
      <c r="F76" s="10"/>
      <c r="G76" s="8"/>
      <c r="H76" s="8"/>
      <c r="I76" s="8"/>
      <c r="J76" s="8"/>
      <c r="K76" s="12"/>
      <c r="L76" s="8"/>
      <c r="M76" s="8"/>
      <c r="N76" s="9" t="str">
        <f aca="false">IF(A76="","",IF(E76="","Sem horário de partida; ","")&amp;IF(AND(B76="Voo",I76=""),"Voo sem código; ",""))</f>
        <v/>
      </c>
    </row>
    <row r="77" customFormat="false" ht="15" hidden="false" customHeight="false" outlineLevel="0" collapsed="false">
      <c r="A77" s="7"/>
      <c r="B77" s="8"/>
      <c r="C77" s="8"/>
      <c r="D77" s="8"/>
      <c r="E77" s="10"/>
      <c r="F77" s="10"/>
      <c r="G77" s="8"/>
      <c r="H77" s="8"/>
      <c r="I77" s="8"/>
      <c r="J77" s="8"/>
      <c r="K77" s="12"/>
      <c r="L77" s="8"/>
      <c r="M77" s="8"/>
      <c r="N77" s="9" t="str">
        <f aca="false">IF(A77="","",IF(E77="","Sem horário de partida; ","")&amp;IF(AND(B77="Voo",I77=""),"Voo sem código; ",""))</f>
        <v/>
      </c>
    </row>
    <row r="78" customFormat="false" ht="15" hidden="false" customHeight="false" outlineLevel="0" collapsed="false">
      <c r="A78" s="7"/>
      <c r="B78" s="8"/>
      <c r="C78" s="8"/>
      <c r="D78" s="8"/>
      <c r="E78" s="10"/>
      <c r="F78" s="10"/>
      <c r="G78" s="8"/>
      <c r="H78" s="8"/>
      <c r="I78" s="8"/>
      <c r="J78" s="8"/>
      <c r="K78" s="12"/>
      <c r="L78" s="8"/>
      <c r="M78" s="8"/>
      <c r="N78" s="9" t="str">
        <f aca="false">IF(A78="","",IF(E78="","Sem horário de partida; ","")&amp;IF(AND(B78="Voo",I78=""),"Voo sem código; ",""))</f>
        <v/>
      </c>
    </row>
    <row r="79" customFormat="false" ht="15" hidden="false" customHeight="false" outlineLevel="0" collapsed="false">
      <c r="A79" s="7"/>
      <c r="B79" s="8"/>
      <c r="C79" s="8"/>
      <c r="D79" s="8"/>
      <c r="E79" s="10"/>
      <c r="F79" s="10"/>
      <c r="G79" s="8"/>
      <c r="H79" s="8"/>
      <c r="I79" s="8"/>
      <c r="J79" s="8"/>
      <c r="K79" s="12"/>
      <c r="L79" s="8"/>
      <c r="M79" s="8"/>
      <c r="N79" s="9" t="str">
        <f aca="false">IF(A79="","",IF(E79="","Sem horário de partida; ","")&amp;IF(AND(B79="Voo",I79=""),"Voo sem código; ",""))</f>
        <v/>
      </c>
    </row>
    <row r="80" customFormat="false" ht="15" hidden="false" customHeight="false" outlineLevel="0" collapsed="false">
      <c r="A80" s="7"/>
      <c r="B80" s="8"/>
      <c r="C80" s="8"/>
      <c r="D80" s="8"/>
      <c r="E80" s="10"/>
      <c r="F80" s="10"/>
      <c r="G80" s="8"/>
      <c r="H80" s="8"/>
      <c r="I80" s="8"/>
      <c r="J80" s="8"/>
      <c r="K80" s="12"/>
      <c r="L80" s="8"/>
      <c r="M80" s="8"/>
      <c r="N80" s="9" t="str">
        <f aca="false">IF(A80="","",IF(E80="","Sem horário de partida; ","")&amp;IF(AND(B80="Voo",I80=""),"Voo sem código; ",""))</f>
        <v/>
      </c>
    </row>
    <row r="81" customFormat="false" ht="15" hidden="false" customHeight="false" outlineLevel="0" collapsed="false">
      <c r="A81" s="7"/>
      <c r="B81" s="8"/>
      <c r="C81" s="8"/>
      <c r="D81" s="8"/>
      <c r="E81" s="10"/>
      <c r="F81" s="10"/>
      <c r="G81" s="8"/>
      <c r="H81" s="8"/>
      <c r="I81" s="8"/>
      <c r="J81" s="8"/>
      <c r="K81" s="12"/>
      <c r="L81" s="8"/>
      <c r="M81" s="8"/>
      <c r="N81" s="9" t="str">
        <f aca="false">IF(A81="","",IF(E81="","Sem horário de partida; ","")&amp;IF(AND(B81="Voo",I81=""),"Voo sem código; ",""))</f>
        <v/>
      </c>
    </row>
    <row r="82" customFormat="false" ht="15" hidden="false" customHeight="false" outlineLevel="0" collapsed="false">
      <c r="A82" s="7"/>
      <c r="B82" s="8"/>
      <c r="C82" s="8"/>
      <c r="D82" s="8"/>
      <c r="E82" s="10"/>
      <c r="F82" s="10"/>
      <c r="G82" s="8"/>
      <c r="H82" s="8"/>
      <c r="I82" s="8"/>
      <c r="J82" s="8"/>
      <c r="K82" s="12"/>
      <c r="L82" s="8"/>
      <c r="M82" s="8"/>
      <c r="N82" s="9" t="str">
        <f aca="false">IF(A82="","",IF(E82="","Sem horário de partida; ","")&amp;IF(AND(B82="Voo",I82=""),"Voo sem código; ",""))</f>
        <v/>
      </c>
    </row>
    <row r="83" customFormat="false" ht="15" hidden="false" customHeight="false" outlineLevel="0" collapsed="false">
      <c r="A83" s="7"/>
      <c r="B83" s="8"/>
      <c r="C83" s="8"/>
      <c r="D83" s="8"/>
      <c r="E83" s="10"/>
      <c r="F83" s="10"/>
      <c r="G83" s="8"/>
      <c r="H83" s="8"/>
      <c r="I83" s="8"/>
      <c r="J83" s="8"/>
      <c r="K83" s="12"/>
      <c r="L83" s="8"/>
      <c r="M83" s="8"/>
      <c r="N83" s="9" t="str">
        <f aca="false">IF(A83="","",IF(E83="","Sem horário de partida; ","")&amp;IF(AND(B83="Voo",I83=""),"Voo sem código; ",""))</f>
        <v/>
      </c>
    </row>
    <row r="84" customFormat="false" ht="15" hidden="false" customHeight="false" outlineLevel="0" collapsed="false">
      <c r="A84" s="7"/>
      <c r="B84" s="8"/>
      <c r="C84" s="8"/>
      <c r="D84" s="8"/>
      <c r="E84" s="10"/>
      <c r="F84" s="10"/>
      <c r="G84" s="8"/>
      <c r="H84" s="8"/>
      <c r="I84" s="8"/>
      <c r="J84" s="8"/>
      <c r="K84" s="12"/>
      <c r="L84" s="8"/>
      <c r="M84" s="8"/>
      <c r="N84" s="9" t="str">
        <f aca="false">IF(A84="","",IF(E84="","Sem horário de partida; ","")&amp;IF(AND(B84="Voo",I84=""),"Voo sem código; ",""))</f>
        <v/>
      </c>
    </row>
    <row r="85" customFormat="false" ht="15" hidden="false" customHeight="false" outlineLevel="0" collapsed="false">
      <c r="A85" s="7"/>
      <c r="B85" s="8"/>
      <c r="C85" s="8"/>
      <c r="D85" s="8"/>
      <c r="E85" s="10"/>
      <c r="F85" s="10"/>
      <c r="G85" s="8"/>
      <c r="H85" s="8"/>
      <c r="I85" s="8"/>
      <c r="J85" s="8"/>
      <c r="K85" s="12"/>
      <c r="L85" s="8"/>
      <c r="M85" s="8"/>
      <c r="N85" s="9" t="str">
        <f aca="false">IF(A85="","",IF(E85="","Sem horário de partida; ","")&amp;IF(AND(B85="Voo",I85=""),"Voo sem código; ",""))</f>
        <v/>
      </c>
    </row>
    <row r="86" customFormat="false" ht="15" hidden="false" customHeight="false" outlineLevel="0" collapsed="false">
      <c r="A86" s="7"/>
      <c r="B86" s="8"/>
      <c r="C86" s="8"/>
      <c r="D86" s="8"/>
      <c r="E86" s="10"/>
      <c r="F86" s="10"/>
      <c r="G86" s="8"/>
      <c r="H86" s="8"/>
      <c r="I86" s="8"/>
      <c r="J86" s="8"/>
      <c r="K86" s="12"/>
      <c r="L86" s="8"/>
      <c r="M86" s="8"/>
      <c r="N86" s="9" t="str">
        <f aca="false">IF(A86="","",IF(E86="","Sem horário de partida; ","")&amp;IF(AND(B86="Voo",I86=""),"Voo sem código; ",""))</f>
        <v/>
      </c>
    </row>
    <row r="87" customFormat="false" ht="15" hidden="false" customHeight="false" outlineLevel="0" collapsed="false">
      <c r="A87" s="7"/>
      <c r="B87" s="8"/>
      <c r="C87" s="8"/>
      <c r="D87" s="8"/>
      <c r="E87" s="10"/>
      <c r="F87" s="10"/>
      <c r="G87" s="8"/>
      <c r="H87" s="8"/>
      <c r="I87" s="8"/>
      <c r="J87" s="8"/>
      <c r="K87" s="12"/>
      <c r="L87" s="8"/>
      <c r="M87" s="8"/>
      <c r="N87" s="9" t="str">
        <f aca="false">IF(A87="","",IF(E87="","Sem horário de partida; ","")&amp;IF(AND(B87="Voo",I87=""),"Voo sem código; ",""))</f>
        <v/>
      </c>
    </row>
    <row r="88" customFormat="false" ht="15" hidden="false" customHeight="false" outlineLevel="0" collapsed="false">
      <c r="A88" s="7"/>
      <c r="B88" s="8"/>
      <c r="C88" s="8"/>
      <c r="D88" s="8"/>
      <c r="E88" s="10"/>
      <c r="F88" s="10"/>
      <c r="G88" s="8"/>
      <c r="H88" s="8"/>
      <c r="I88" s="8"/>
      <c r="J88" s="8"/>
      <c r="K88" s="12"/>
      <c r="L88" s="8"/>
      <c r="M88" s="8"/>
      <c r="N88" s="9" t="str">
        <f aca="false">IF(A88="","",IF(E88="","Sem horário de partida; ","")&amp;IF(AND(B88="Voo",I88=""),"Voo sem código; ",""))</f>
        <v/>
      </c>
    </row>
    <row r="89" customFormat="false" ht="15" hidden="false" customHeight="false" outlineLevel="0" collapsed="false">
      <c r="A89" s="7"/>
      <c r="B89" s="8"/>
      <c r="C89" s="8"/>
      <c r="D89" s="8"/>
      <c r="E89" s="10"/>
      <c r="F89" s="10"/>
      <c r="G89" s="8"/>
      <c r="H89" s="8"/>
      <c r="I89" s="8"/>
      <c r="J89" s="8"/>
      <c r="K89" s="12"/>
      <c r="L89" s="8"/>
      <c r="M89" s="8"/>
      <c r="N89" s="9" t="str">
        <f aca="false">IF(A89="","",IF(E89="","Sem horário de partida; ","")&amp;IF(AND(B89="Voo",I89=""),"Voo sem código; ",""))</f>
        <v/>
      </c>
    </row>
    <row r="90" customFormat="false" ht="15" hidden="false" customHeight="false" outlineLevel="0" collapsed="false">
      <c r="A90" s="7"/>
      <c r="B90" s="8"/>
      <c r="C90" s="8"/>
      <c r="D90" s="8"/>
      <c r="E90" s="10"/>
      <c r="F90" s="10"/>
      <c r="G90" s="8"/>
      <c r="H90" s="8"/>
      <c r="I90" s="8"/>
      <c r="J90" s="8"/>
      <c r="K90" s="12"/>
      <c r="L90" s="8"/>
      <c r="M90" s="8"/>
      <c r="N90" s="9" t="str">
        <f aca="false">IF(A90="","",IF(E90="","Sem horário de partida; ","")&amp;IF(AND(B90="Voo",I90=""),"Voo sem código; ",""))</f>
        <v/>
      </c>
    </row>
    <row r="91" customFormat="false" ht="15" hidden="false" customHeight="false" outlineLevel="0" collapsed="false">
      <c r="A91" s="7"/>
      <c r="B91" s="8"/>
      <c r="C91" s="8"/>
      <c r="D91" s="8"/>
      <c r="E91" s="10"/>
      <c r="F91" s="10"/>
      <c r="G91" s="8"/>
      <c r="H91" s="8"/>
      <c r="I91" s="8"/>
      <c r="J91" s="8"/>
      <c r="K91" s="12"/>
      <c r="L91" s="8"/>
      <c r="M91" s="8"/>
      <c r="N91" s="9" t="str">
        <f aca="false">IF(A91="","",IF(E91="","Sem horário de partida; ","")&amp;IF(AND(B91="Voo",I91=""),"Voo sem código; ",""))</f>
        <v/>
      </c>
    </row>
    <row r="92" customFormat="false" ht="15" hidden="false" customHeight="false" outlineLevel="0" collapsed="false">
      <c r="A92" s="7"/>
      <c r="B92" s="8"/>
      <c r="C92" s="8"/>
      <c r="D92" s="8"/>
      <c r="E92" s="10"/>
      <c r="F92" s="10"/>
      <c r="G92" s="8"/>
      <c r="H92" s="8"/>
      <c r="I92" s="8"/>
      <c r="J92" s="8"/>
      <c r="K92" s="12"/>
      <c r="L92" s="8"/>
      <c r="M92" s="8"/>
      <c r="N92" s="9" t="str">
        <f aca="false">IF(A92="","",IF(E92="","Sem horário de partida; ","")&amp;IF(AND(B92="Voo",I92=""),"Voo sem código; ",""))</f>
        <v/>
      </c>
    </row>
    <row r="93" customFormat="false" ht="15" hidden="false" customHeight="false" outlineLevel="0" collapsed="false">
      <c r="A93" s="7"/>
      <c r="B93" s="8"/>
      <c r="C93" s="8"/>
      <c r="D93" s="8"/>
      <c r="E93" s="10"/>
      <c r="F93" s="10"/>
      <c r="G93" s="8"/>
      <c r="H93" s="8"/>
      <c r="I93" s="8"/>
      <c r="J93" s="8"/>
      <c r="K93" s="12"/>
      <c r="L93" s="8"/>
      <c r="M93" s="8"/>
      <c r="N93" s="9" t="str">
        <f aca="false">IF(A93="","",IF(E93="","Sem horário de partida; ","")&amp;IF(AND(B93="Voo",I93=""),"Voo sem código; ",""))</f>
        <v/>
      </c>
    </row>
    <row r="94" customFormat="false" ht="15" hidden="false" customHeight="false" outlineLevel="0" collapsed="false">
      <c r="A94" s="7"/>
      <c r="B94" s="8"/>
      <c r="C94" s="8"/>
      <c r="D94" s="8"/>
      <c r="E94" s="10"/>
      <c r="F94" s="10"/>
      <c r="G94" s="8"/>
      <c r="H94" s="8"/>
      <c r="I94" s="8"/>
      <c r="J94" s="8"/>
      <c r="K94" s="12"/>
      <c r="L94" s="8"/>
      <c r="M94" s="8"/>
      <c r="N94" s="9" t="str">
        <f aca="false">IF(A94="","",IF(E94="","Sem horário de partida; ","")&amp;IF(AND(B94="Voo",I94=""),"Voo sem código; ",""))</f>
        <v/>
      </c>
    </row>
    <row r="95" customFormat="false" ht="15" hidden="false" customHeight="false" outlineLevel="0" collapsed="false">
      <c r="A95" s="7"/>
      <c r="B95" s="8"/>
      <c r="C95" s="8"/>
      <c r="D95" s="8"/>
      <c r="E95" s="10"/>
      <c r="F95" s="10"/>
      <c r="G95" s="8"/>
      <c r="H95" s="8"/>
      <c r="I95" s="8"/>
      <c r="J95" s="8"/>
      <c r="K95" s="12"/>
      <c r="L95" s="8"/>
      <c r="M95" s="8"/>
      <c r="N95" s="9" t="str">
        <f aca="false">IF(A95="","",IF(E95="","Sem horário de partida; ","")&amp;IF(AND(B95="Voo",I95=""),"Voo sem código; ",""))</f>
        <v/>
      </c>
    </row>
    <row r="96" customFormat="false" ht="15" hidden="false" customHeight="false" outlineLevel="0" collapsed="false">
      <c r="A96" s="7"/>
      <c r="B96" s="8"/>
      <c r="C96" s="8"/>
      <c r="D96" s="8"/>
      <c r="E96" s="10"/>
      <c r="F96" s="10"/>
      <c r="G96" s="8"/>
      <c r="H96" s="8"/>
      <c r="I96" s="8"/>
      <c r="J96" s="8"/>
      <c r="K96" s="12"/>
      <c r="L96" s="8"/>
      <c r="M96" s="8"/>
      <c r="N96" s="9" t="str">
        <f aca="false">IF(A96="","",IF(E96="","Sem horário de partida; ","")&amp;IF(AND(B96="Voo",I96=""),"Voo sem código; ",""))</f>
        <v/>
      </c>
    </row>
    <row r="97" customFormat="false" ht="15" hidden="false" customHeight="false" outlineLevel="0" collapsed="false">
      <c r="A97" s="7"/>
      <c r="B97" s="8"/>
      <c r="C97" s="8"/>
      <c r="D97" s="8"/>
      <c r="E97" s="10"/>
      <c r="F97" s="10"/>
      <c r="G97" s="8"/>
      <c r="H97" s="8"/>
      <c r="I97" s="8"/>
      <c r="J97" s="8"/>
      <c r="K97" s="12"/>
      <c r="L97" s="8"/>
      <c r="M97" s="8"/>
      <c r="N97" s="9" t="str">
        <f aca="false">IF(A97="","",IF(E97="","Sem horário de partida; ","")&amp;IF(AND(B97="Voo",I97=""),"Voo sem código; ",""))</f>
        <v/>
      </c>
    </row>
    <row r="98" customFormat="false" ht="15" hidden="false" customHeight="false" outlineLevel="0" collapsed="false">
      <c r="A98" s="7"/>
      <c r="B98" s="8"/>
      <c r="C98" s="8"/>
      <c r="D98" s="8"/>
      <c r="E98" s="10"/>
      <c r="F98" s="10"/>
      <c r="G98" s="8"/>
      <c r="H98" s="8"/>
      <c r="I98" s="8"/>
      <c r="J98" s="8"/>
      <c r="K98" s="12"/>
      <c r="L98" s="8"/>
      <c r="M98" s="8"/>
      <c r="N98" s="9" t="str">
        <f aca="false">IF(A98="","",IF(E98="","Sem horário de partida; ","")&amp;IF(AND(B98="Voo",I98=""),"Voo sem código; ",""))</f>
        <v/>
      </c>
    </row>
    <row r="99" customFormat="false" ht="15" hidden="false" customHeight="false" outlineLevel="0" collapsed="false">
      <c r="A99" s="7"/>
      <c r="B99" s="8"/>
      <c r="C99" s="8"/>
      <c r="D99" s="8"/>
      <c r="E99" s="10"/>
      <c r="F99" s="10"/>
      <c r="G99" s="8"/>
      <c r="H99" s="8"/>
      <c r="I99" s="8"/>
      <c r="J99" s="8"/>
      <c r="K99" s="12"/>
      <c r="L99" s="8"/>
      <c r="M99" s="8"/>
      <c r="N99" s="9" t="str">
        <f aca="false">IF(A99="","",IF(E99="","Sem horário de partida; ","")&amp;IF(AND(B99="Voo",I99=""),"Voo sem código; ",""))</f>
        <v/>
      </c>
    </row>
    <row r="100" customFormat="false" ht="15" hidden="false" customHeight="false" outlineLevel="0" collapsed="false">
      <c r="A100" s="7"/>
      <c r="B100" s="8"/>
      <c r="C100" s="8"/>
      <c r="D100" s="8"/>
      <c r="E100" s="10"/>
      <c r="F100" s="10"/>
      <c r="G100" s="8"/>
      <c r="H100" s="8"/>
      <c r="I100" s="8"/>
      <c r="J100" s="8"/>
      <c r="K100" s="12"/>
      <c r="L100" s="8"/>
      <c r="M100" s="8"/>
      <c r="N100" s="9" t="str">
        <f aca="false">IF(A100="","",IF(E100="","Sem horário de partida; ","")&amp;IF(AND(B100="Voo",I100=""),"Voo sem código; ",""))</f>
        <v/>
      </c>
    </row>
    <row r="101" customFormat="false" ht="15" hidden="false" customHeight="false" outlineLevel="0" collapsed="false">
      <c r="A101" s="7"/>
      <c r="B101" s="8"/>
      <c r="C101" s="8"/>
      <c r="D101" s="8"/>
      <c r="E101" s="10"/>
      <c r="F101" s="10"/>
      <c r="G101" s="8"/>
      <c r="H101" s="8"/>
      <c r="I101" s="8"/>
      <c r="J101" s="8"/>
      <c r="K101" s="12"/>
      <c r="L101" s="8"/>
      <c r="M101" s="8"/>
      <c r="N101" s="9" t="str">
        <f aca="false">IF(A101="","",IF(E101="","Sem horário de partida; ","")&amp;IF(AND(B101="Voo",I101=""),"Voo sem código; ",""))</f>
        <v/>
      </c>
    </row>
    <row r="102" customFormat="false" ht="15" hidden="false" customHeight="false" outlineLevel="0" collapsed="false">
      <c r="A102" s="7"/>
      <c r="B102" s="8"/>
      <c r="C102" s="8"/>
      <c r="D102" s="8"/>
      <c r="E102" s="10"/>
      <c r="F102" s="10"/>
      <c r="G102" s="8"/>
      <c r="H102" s="8"/>
      <c r="I102" s="8"/>
      <c r="J102" s="8"/>
      <c r="K102" s="12"/>
      <c r="L102" s="8"/>
      <c r="M102" s="8"/>
      <c r="N102" s="9" t="str">
        <f aca="false">IF(A102="","",IF(E102="","Sem horário de partida; ","")&amp;IF(AND(B102="Voo",I102=""),"Voo sem código; ",""))</f>
        <v/>
      </c>
    </row>
    <row r="103" customFormat="false" ht="15" hidden="false" customHeight="false" outlineLevel="0" collapsed="false">
      <c r="A103" s="7"/>
      <c r="B103" s="8"/>
      <c r="C103" s="8"/>
      <c r="D103" s="8"/>
      <c r="E103" s="10"/>
      <c r="F103" s="10"/>
      <c r="G103" s="8"/>
      <c r="H103" s="8"/>
      <c r="I103" s="8"/>
      <c r="J103" s="8"/>
      <c r="K103" s="12"/>
      <c r="L103" s="8"/>
      <c r="M103" s="8"/>
      <c r="N103" s="9" t="str">
        <f aca="false">IF(A103="","",IF(E103="","Sem horário de partida; ","")&amp;IF(AND(B103="Voo",I103=""),"Voo sem código; ",""))</f>
        <v/>
      </c>
    </row>
    <row r="104" customFormat="false" ht="15" hidden="false" customHeight="false" outlineLevel="0" collapsed="false">
      <c r="A104" s="7"/>
      <c r="B104" s="8"/>
      <c r="C104" s="8"/>
      <c r="D104" s="8"/>
      <c r="E104" s="10"/>
      <c r="F104" s="10"/>
      <c r="G104" s="8"/>
      <c r="H104" s="8"/>
      <c r="I104" s="8"/>
      <c r="J104" s="8"/>
      <c r="K104" s="12"/>
      <c r="L104" s="8"/>
      <c r="M104" s="8"/>
      <c r="N104" s="9" t="str">
        <f aca="false">IF(A104="","",IF(E104="","Sem horário de partida; ","")&amp;IF(AND(B104="Voo",I104=""),"Voo sem código; ",""))</f>
        <v/>
      </c>
    </row>
    <row r="105" customFormat="false" ht="15" hidden="false" customHeight="false" outlineLevel="0" collapsed="false">
      <c r="A105" s="7"/>
      <c r="B105" s="8"/>
      <c r="C105" s="8"/>
      <c r="D105" s="8"/>
      <c r="E105" s="10"/>
      <c r="F105" s="10"/>
      <c r="G105" s="8"/>
      <c r="H105" s="8"/>
      <c r="I105" s="8"/>
      <c r="J105" s="8"/>
      <c r="K105" s="12"/>
      <c r="L105" s="8"/>
      <c r="M105" s="8"/>
      <c r="N105" s="9" t="str">
        <f aca="false">IF(A105="","",IF(E105="","Sem horário de partida; ","")&amp;IF(AND(B105="Voo",I105=""),"Voo sem código; ",""))</f>
        <v/>
      </c>
    </row>
    <row r="106" customFormat="false" ht="15" hidden="false" customHeight="false" outlineLevel="0" collapsed="false">
      <c r="A106" s="7"/>
      <c r="B106" s="8"/>
      <c r="C106" s="8"/>
      <c r="D106" s="8"/>
      <c r="E106" s="10"/>
      <c r="F106" s="10"/>
      <c r="G106" s="8"/>
      <c r="H106" s="8"/>
      <c r="I106" s="8"/>
      <c r="J106" s="8"/>
      <c r="K106" s="12"/>
      <c r="L106" s="8"/>
      <c r="M106" s="8"/>
      <c r="N106" s="9" t="str">
        <f aca="false">IF(A106="","",IF(E106="","Sem horário de partida; ","")&amp;IF(AND(B106="Voo",I106=""),"Voo sem código; ",""))</f>
        <v/>
      </c>
    </row>
    <row r="107" customFormat="false" ht="15" hidden="false" customHeight="false" outlineLevel="0" collapsed="false">
      <c r="A107" s="7"/>
      <c r="B107" s="8"/>
      <c r="C107" s="8"/>
      <c r="D107" s="8"/>
      <c r="E107" s="10"/>
      <c r="F107" s="10"/>
      <c r="G107" s="8"/>
      <c r="H107" s="8"/>
      <c r="I107" s="8"/>
      <c r="J107" s="8"/>
      <c r="K107" s="12"/>
      <c r="L107" s="8"/>
      <c r="M107" s="8"/>
      <c r="N107" s="9" t="str">
        <f aca="false">IF(A107="","",IF(E107="","Sem horário de partida; ","")&amp;IF(AND(B107="Voo",I107=""),"Voo sem código; ",""))</f>
        <v/>
      </c>
    </row>
    <row r="108" customFormat="false" ht="15" hidden="false" customHeight="false" outlineLevel="0" collapsed="false">
      <c r="A108" s="7"/>
      <c r="B108" s="8"/>
      <c r="C108" s="8"/>
      <c r="D108" s="8"/>
      <c r="E108" s="10"/>
      <c r="F108" s="10"/>
      <c r="G108" s="8"/>
      <c r="H108" s="8"/>
      <c r="I108" s="8"/>
      <c r="J108" s="8"/>
      <c r="K108" s="12"/>
      <c r="L108" s="8"/>
      <c r="M108" s="8"/>
      <c r="N108" s="9" t="str">
        <f aca="false">IF(A108="","",IF(E108="","Sem horário de partida; ","")&amp;IF(AND(B108="Voo",I108=""),"Voo sem código; ",""))</f>
        <v/>
      </c>
    </row>
    <row r="109" customFormat="false" ht="15" hidden="false" customHeight="false" outlineLevel="0" collapsed="false">
      <c r="A109" s="7"/>
      <c r="B109" s="8"/>
      <c r="C109" s="8"/>
      <c r="D109" s="8"/>
      <c r="E109" s="10"/>
      <c r="F109" s="10"/>
      <c r="G109" s="8"/>
      <c r="H109" s="8"/>
      <c r="I109" s="8"/>
      <c r="J109" s="8"/>
      <c r="K109" s="12"/>
      <c r="L109" s="8"/>
      <c r="M109" s="8"/>
      <c r="N109" s="9" t="str">
        <f aca="false">IF(A109="","",IF(E109="","Sem horário de partida; ","")&amp;IF(AND(B109="Voo",I109=""),"Voo sem código; ",""))</f>
        <v/>
      </c>
    </row>
    <row r="110" customFormat="false" ht="15" hidden="false" customHeight="false" outlineLevel="0" collapsed="false">
      <c r="A110" s="7"/>
      <c r="B110" s="8"/>
      <c r="C110" s="8"/>
      <c r="D110" s="8"/>
      <c r="E110" s="10"/>
      <c r="F110" s="10"/>
      <c r="G110" s="8"/>
      <c r="H110" s="8"/>
      <c r="I110" s="8"/>
      <c r="J110" s="8"/>
      <c r="K110" s="12"/>
      <c r="L110" s="8"/>
      <c r="M110" s="8"/>
      <c r="N110" s="9" t="str">
        <f aca="false">IF(A110="","",IF(E110="","Sem horário de partida; ","")&amp;IF(AND(B110="Voo",I110=""),"Voo sem código; ",""))</f>
        <v/>
      </c>
    </row>
    <row r="111" customFormat="false" ht="15" hidden="false" customHeight="false" outlineLevel="0" collapsed="false">
      <c r="A111" s="7"/>
      <c r="B111" s="8"/>
      <c r="C111" s="8"/>
      <c r="D111" s="8"/>
      <c r="E111" s="10"/>
      <c r="F111" s="10"/>
      <c r="G111" s="8"/>
      <c r="H111" s="8"/>
      <c r="I111" s="8"/>
      <c r="J111" s="8"/>
      <c r="K111" s="12"/>
      <c r="L111" s="8"/>
      <c r="M111" s="8"/>
      <c r="N111" s="9" t="str">
        <f aca="false">IF(A111="","",IF(E111="","Sem horário de partida; ","")&amp;IF(AND(B111="Voo",I111=""),"Voo sem código; ",""))</f>
        <v/>
      </c>
    </row>
    <row r="112" customFormat="false" ht="15" hidden="false" customHeight="false" outlineLevel="0" collapsed="false">
      <c r="A112" s="7"/>
      <c r="B112" s="8"/>
      <c r="C112" s="8"/>
      <c r="D112" s="8"/>
      <c r="E112" s="10"/>
      <c r="F112" s="10"/>
      <c r="G112" s="8"/>
      <c r="H112" s="8"/>
      <c r="I112" s="8"/>
      <c r="J112" s="8"/>
      <c r="K112" s="12"/>
      <c r="L112" s="8"/>
      <c r="M112" s="8"/>
      <c r="N112" s="9" t="str">
        <f aca="false">IF(A112="","",IF(E112="","Sem horário de partida; ","")&amp;IF(AND(B112="Voo",I112=""),"Voo sem código; ",""))</f>
        <v/>
      </c>
    </row>
    <row r="113" customFormat="false" ht="15" hidden="false" customHeight="false" outlineLevel="0" collapsed="false">
      <c r="A113" s="7"/>
      <c r="B113" s="8"/>
      <c r="C113" s="8"/>
      <c r="D113" s="8"/>
      <c r="E113" s="10"/>
      <c r="F113" s="10"/>
      <c r="G113" s="8"/>
      <c r="H113" s="8"/>
      <c r="I113" s="8"/>
      <c r="J113" s="8"/>
      <c r="K113" s="12"/>
      <c r="L113" s="8"/>
      <c r="M113" s="8"/>
      <c r="N113" s="9" t="str">
        <f aca="false">IF(A113="","",IF(E113="","Sem horário de partida; ","")&amp;IF(AND(B113="Voo",I113=""),"Voo sem código; ",""))</f>
        <v/>
      </c>
    </row>
    <row r="114" customFormat="false" ht="15" hidden="false" customHeight="false" outlineLevel="0" collapsed="false">
      <c r="A114" s="7"/>
      <c r="B114" s="8"/>
      <c r="C114" s="8"/>
      <c r="D114" s="8"/>
      <c r="E114" s="10"/>
      <c r="F114" s="10"/>
      <c r="G114" s="8"/>
      <c r="H114" s="8"/>
      <c r="I114" s="8"/>
      <c r="J114" s="8"/>
      <c r="K114" s="12"/>
      <c r="L114" s="8"/>
      <c r="M114" s="8"/>
      <c r="N114" s="9" t="str">
        <f aca="false">IF(A114="","",IF(E114="","Sem horário de partida; ","")&amp;IF(AND(B114="Voo",I114=""),"Voo sem código; ",""))</f>
        <v/>
      </c>
    </row>
    <row r="115" customFormat="false" ht="15" hidden="false" customHeight="false" outlineLevel="0" collapsed="false">
      <c r="A115" s="7"/>
      <c r="B115" s="8"/>
      <c r="C115" s="8"/>
      <c r="D115" s="8"/>
      <c r="E115" s="10"/>
      <c r="F115" s="10"/>
      <c r="G115" s="8"/>
      <c r="H115" s="8"/>
      <c r="I115" s="8"/>
      <c r="J115" s="8"/>
      <c r="K115" s="12"/>
      <c r="L115" s="8"/>
      <c r="M115" s="8"/>
      <c r="N115" s="9" t="str">
        <f aca="false">IF(A115="","",IF(E115="","Sem horário de partida; ","")&amp;IF(AND(B115="Voo",I115=""),"Voo sem código; ",""))</f>
        <v/>
      </c>
    </row>
    <row r="116" customFormat="false" ht="15" hidden="false" customHeight="false" outlineLevel="0" collapsed="false">
      <c r="A116" s="7"/>
      <c r="B116" s="8"/>
      <c r="C116" s="8"/>
      <c r="D116" s="8"/>
      <c r="E116" s="10"/>
      <c r="F116" s="10"/>
      <c r="G116" s="8"/>
      <c r="H116" s="8"/>
      <c r="I116" s="8"/>
      <c r="J116" s="8"/>
      <c r="K116" s="12"/>
      <c r="L116" s="8"/>
      <c r="M116" s="8"/>
      <c r="N116" s="9" t="str">
        <f aca="false">IF(A116="","",IF(E116="","Sem horário de partida; ","")&amp;IF(AND(B116="Voo",I116=""),"Voo sem código; ",""))</f>
        <v/>
      </c>
    </row>
    <row r="117" customFormat="false" ht="15" hidden="false" customHeight="false" outlineLevel="0" collapsed="false">
      <c r="A117" s="7"/>
      <c r="B117" s="8"/>
      <c r="C117" s="8"/>
      <c r="D117" s="8"/>
      <c r="E117" s="10"/>
      <c r="F117" s="10"/>
      <c r="G117" s="8"/>
      <c r="H117" s="8"/>
      <c r="I117" s="8"/>
      <c r="J117" s="8"/>
      <c r="K117" s="12"/>
      <c r="L117" s="8"/>
      <c r="M117" s="8"/>
      <c r="N117" s="9" t="str">
        <f aca="false">IF(A117="","",IF(E117="","Sem horário de partida; ","")&amp;IF(AND(B117="Voo",I117=""),"Voo sem código; ",""))</f>
        <v/>
      </c>
    </row>
    <row r="118" customFormat="false" ht="15" hidden="false" customHeight="false" outlineLevel="0" collapsed="false">
      <c r="A118" s="7"/>
      <c r="B118" s="8"/>
      <c r="C118" s="8"/>
      <c r="D118" s="8"/>
      <c r="E118" s="10"/>
      <c r="F118" s="10"/>
      <c r="G118" s="8"/>
      <c r="H118" s="8"/>
      <c r="I118" s="8"/>
      <c r="J118" s="8"/>
      <c r="K118" s="12"/>
      <c r="L118" s="8"/>
      <c r="M118" s="8"/>
      <c r="N118" s="9" t="str">
        <f aca="false">IF(A118="","",IF(E118="","Sem horário de partida; ","")&amp;IF(AND(B118="Voo",I118=""),"Voo sem código; ",""))</f>
        <v/>
      </c>
    </row>
    <row r="119" customFormat="false" ht="15" hidden="false" customHeight="false" outlineLevel="0" collapsed="false">
      <c r="A119" s="7"/>
      <c r="B119" s="8"/>
      <c r="C119" s="8"/>
      <c r="D119" s="8"/>
      <c r="E119" s="10"/>
      <c r="F119" s="10"/>
      <c r="G119" s="8"/>
      <c r="H119" s="8"/>
      <c r="I119" s="8"/>
      <c r="J119" s="8"/>
      <c r="K119" s="12"/>
      <c r="L119" s="8"/>
      <c r="M119" s="8"/>
      <c r="N119" s="9" t="str">
        <f aca="false">IF(A119="","",IF(E119="","Sem horário de partida; ","")&amp;IF(AND(B119="Voo",I119=""),"Voo sem código; ",""))</f>
        <v/>
      </c>
    </row>
    <row r="120" customFormat="false" ht="15" hidden="false" customHeight="false" outlineLevel="0" collapsed="false">
      <c r="A120" s="7"/>
      <c r="B120" s="8"/>
      <c r="C120" s="8"/>
      <c r="D120" s="8"/>
      <c r="E120" s="10"/>
      <c r="F120" s="10"/>
      <c r="G120" s="8"/>
      <c r="H120" s="8"/>
      <c r="I120" s="8"/>
      <c r="J120" s="8"/>
      <c r="K120" s="12"/>
      <c r="L120" s="8"/>
      <c r="M120" s="8"/>
      <c r="N120" s="9" t="str">
        <f aca="false">IF(A120="","",IF(E120="","Sem horário de partida; ","")&amp;IF(AND(B120="Voo",I120=""),"Voo sem código; ",""))</f>
        <v/>
      </c>
    </row>
    <row r="121" customFormat="false" ht="15" hidden="false" customHeight="false" outlineLevel="0" collapsed="false">
      <c r="A121" s="7"/>
      <c r="B121" s="8"/>
      <c r="C121" s="8"/>
      <c r="D121" s="8"/>
      <c r="E121" s="10"/>
      <c r="F121" s="10"/>
      <c r="G121" s="8"/>
      <c r="H121" s="8"/>
      <c r="I121" s="8"/>
      <c r="J121" s="8"/>
      <c r="K121" s="12"/>
      <c r="L121" s="8"/>
      <c r="M121" s="8"/>
      <c r="N121" s="9" t="str">
        <f aca="false">IF(A121="","",IF(E121="","Sem horário de partida; ","")&amp;IF(AND(B121="Voo",I121=""),"Voo sem código; ",""))</f>
        <v/>
      </c>
    </row>
    <row r="122" customFormat="false" ht="15" hidden="false" customHeight="false" outlineLevel="0" collapsed="false">
      <c r="A122" s="7"/>
      <c r="B122" s="8"/>
      <c r="C122" s="8"/>
      <c r="D122" s="8"/>
      <c r="E122" s="10"/>
      <c r="F122" s="10"/>
      <c r="G122" s="8"/>
      <c r="H122" s="8"/>
      <c r="I122" s="8"/>
      <c r="J122" s="8"/>
      <c r="K122" s="12"/>
      <c r="L122" s="8"/>
      <c r="M122" s="8"/>
      <c r="N122" s="9" t="str">
        <f aca="false">IF(A122="","",IF(E122="","Sem horário de partida; ","")&amp;IF(AND(B122="Voo",I122=""),"Voo sem código; ",""))</f>
        <v/>
      </c>
    </row>
    <row r="123" customFormat="false" ht="15" hidden="false" customHeight="false" outlineLevel="0" collapsed="false">
      <c r="A123" s="7"/>
      <c r="B123" s="8"/>
      <c r="C123" s="8"/>
      <c r="D123" s="8"/>
      <c r="E123" s="10"/>
      <c r="F123" s="10"/>
      <c r="G123" s="8"/>
      <c r="H123" s="8"/>
      <c r="I123" s="8"/>
      <c r="J123" s="8"/>
      <c r="K123" s="12"/>
      <c r="L123" s="8"/>
      <c r="M123" s="8"/>
      <c r="N123" s="9" t="str">
        <f aca="false">IF(A123="","",IF(E123="","Sem horário de partida; ","")&amp;IF(AND(B123="Voo",I123=""),"Voo sem código; ",""))</f>
        <v/>
      </c>
    </row>
    <row r="124" customFormat="false" ht="15" hidden="false" customHeight="false" outlineLevel="0" collapsed="false">
      <c r="A124" s="7"/>
      <c r="B124" s="8"/>
      <c r="C124" s="8"/>
      <c r="D124" s="8"/>
      <c r="E124" s="10"/>
      <c r="F124" s="10"/>
      <c r="G124" s="8"/>
      <c r="H124" s="8"/>
      <c r="I124" s="8"/>
      <c r="J124" s="8"/>
      <c r="K124" s="12"/>
      <c r="L124" s="8"/>
      <c r="M124" s="8"/>
      <c r="N124" s="9" t="str">
        <f aca="false">IF(A124="","",IF(E124="","Sem horário de partida; ","")&amp;IF(AND(B124="Voo",I124=""),"Voo sem código; ",""))</f>
        <v/>
      </c>
    </row>
    <row r="125" customFormat="false" ht="15" hidden="false" customHeight="false" outlineLevel="0" collapsed="false">
      <c r="A125" s="7"/>
      <c r="B125" s="8"/>
      <c r="C125" s="8"/>
      <c r="D125" s="8"/>
      <c r="E125" s="10"/>
      <c r="F125" s="10"/>
      <c r="G125" s="8"/>
      <c r="H125" s="8"/>
      <c r="I125" s="8"/>
      <c r="J125" s="8"/>
      <c r="K125" s="12"/>
      <c r="L125" s="8"/>
      <c r="M125" s="8"/>
      <c r="N125" s="9" t="str">
        <f aca="false">IF(A125="","",IF(E125="","Sem horário de partida; ","")&amp;IF(AND(B125="Voo",I125=""),"Voo sem código; ",""))</f>
        <v/>
      </c>
    </row>
    <row r="126" customFormat="false" ht="15" hidden="false" customHeight="false" outlineLevel="0" collapsed="false">
      <c r="A126" s="7"/>
      <c r="B126" s="8"/>
      <c r="C126" s="8"/>
      <c r="D126" s="8"/>
      <c r="E126" s="10"/>
      <c r="F126" s="10"/>
      <c r="G126" s="8"/>
      <c r="H126" s="8"/>
      <c r="I126" s="8"/>
      <c r="J126" s="8"/>
      <c r="K126" s="12"/>
      <c r="L126" s="8"/>
      <c r="M126" s="8"/>
      <c r="N126" s="9" t="str">
        <f aca="false">IF(A126="","",IF(E126="","Sem horário de partida; ","")&amp;IF(AND(B126="Voo",I126=""),"Voo sem código; ",""))</f>
        <v/>
      </c>
    </row>
    <row r="127" customFormat="false" ht="15" hidden="false" customHeight="false" outlineLevel="0" collapsed="false">
      <c r="A127" s="7"/>
      <c r="B127" s="8"/>
      <c r="C127" s="8"/>
      <c r="D127" s="8"/>
      <c r="E127" s="10"/>
      <c r="F127" s="10"/>
      <c r="G127" s="8"/>
      <c r="H127" s="8"/>
      <c r="I127" s="8"/>
      <c r="J127" s="8"/>
      <c r="K127" s="12"/>
      <c r="L127" s="8"/>
      <c r="M127" s="8"/>
      <c r="N127" s="9" t="str">
        <f aca="false">IF(A127="","",IF(E127="","Sem horário de partida; ","")&amp;IF(AND(B127="Voo",I127=""),"Voo sem código; ",""))</f>
        <v/>
      </c>
    </row>
    <row r="128" customFormat="false" ht="15" hidden="false" customHeight="false" outlineLevel="0" collapsed="false">
      <c r="A128" s="7"/>
      <c r="B128" s="8"/>
      <c r="C128" s="8"/>
      <c r="D128" s="8"/>
      <c r="E128" s="10"/>
      <c r="F128" s="10"/>
      <c r="G128" s="8"/>
      <c r="H128" s="8"/>
      <c r="I128" s="8"/>
      <c r="J128" s="8"/>
      <c r="K128" s="12"/>
      <c r="L128" s="8"/>
      <c r="M128" s="8"/>
      <c r="N128" s="9" t="str">
        <f aca="false">IF(A128="","",IF(E128="","Sem horário de partida; ","")&amp;IF(AND(B128="Voo",I128=""),"Voo sem código; ",""))</f>
        <v/>
      </c>
    </row>
    <row r="129" customFormat="false" ht="15" hidden="false" customHeight="false" outlineLevel="0" collapsed="false">
      <c r="A129" s="7"/>
      <c r="B129" s="8"/>
      <c r="C129" s="8"/>
      <c r="D129" s="8"/>
      <c r="E129" s="10"/>
      <c r="F129" s="10"/>
      <c r="G129" s="8"/>
      <c r="H129" s="8"/>
      <c r="I129" s="8"/>
      <c r="J129" s="8"/>
      <c r="K129" s="12"/>
      <c r="L129" s="8"/>
      <c r="M129" s="8"/>
      <c r="N129" s="9" t="str">
        <f aca="false">IF(A129="","",IF(E129="","Sem horário de partida; ","")&amp;IF(AND(B129="Voo",I129=""),"Voo sem código; ",""))</f>
        <v/>
      </c>
    </row>
    <row r="130" customFormat="false" ht="15" hidden="false" customHeight="false" outlineLevel="0" collapsed="false">
      <c r="A130" s="7"/>
      <c r="B130" s="8"/>
      <c r="C130" s="8"/>
      <c r="D130" s="8"/>
      <c r="E130" s="10"/>
      <c r="F130" s="10"/>
      <c r="G130" s="8"/>
      <c r="H130" s="8"/>
      <c r="I130" s="8"/>
      <c r="J130" s="8"/>
      <c r="K130" s="12"/>
      <c r="L130" s="8"/>
      <c r="M130" s="8"/>
      <c r="N130" s="9" t="str">
        <f aca="false">IF(A130="","",IF(E130="","Sem horário de partida; ","")&amp;IF(AND(B130="Voo",I130=""),"Voo sem código; ",""))</f>
        <v/>
      </c>
    </row>
    <row r="131" customFormat="false" ht="15" hidden="false" customHeight="false" outlineLevel="0" collapsed="false">
      <c r="A131" s="7"/>
      <c r="B131" s="8"/>
      <c r="C131" s="8"/>
      <c r="D131" s="8"/>
      <c r="E131" s="10"/>
      <c r="F131" s="10"/>
      <c r="G131" s="8"/>
      <c r="H131" s="8"/>
      <c r="I131" s="8"/>
      <c r="J131" s="8"/>
      <c r="K131" s="12"/>
      <c r="L131" s="8"/>
      <c r="M131" s="8"/>
      <c r="N131" s="9" t="str">
        <f aca="false">IF(A131="","",IF(E131="","Sem horário de partida; ","")&amp;IF(AND(B131="Voo",I131=""),"Voo sem código; ",""))</f>
        <v/>
      </c>
    </row>
    <row r="132" customFormat="false" ht="15" hidden="false" customHeight="false" outlineLevel="0" collapsed="false">
      <c r="A132" s="7"/>
      <c r="B132" s="8"/>
      <c r="C132" s="8"/>
      <c r="D132" s="8"/>
      <c r="E132" s="10"/>
      <c r="F132" s="10"/>
      <c r="G132" s="8"/>
      <c r="H132" s="8"/>
      <c r="I132" s="8"/>
      <c r="J132" s="8"/>
      <c r="K132" s="12"/>
      <c r="L132" s="8"/>
      <c r="M132" s="8"/>
      <c r="N132" s="9" t="str">
        <f aca="false">IF(A132="","",IF(E132="","Sem horário de partida; ","")&amp;IF(AND(B132="Voo",I132=""),"Voo sem código; ",""))</f>
        <v/>
      </c>
    </row>
    <row r="133" customFormat="false" ht="15" hidden="false" customHeight="false" outlineLevel="0" collapsed="false">
      <c r="A133" s="7"/>
      <c r="B133" s="8"/>
      <c r="C133" s="8"/>
      <c r="D133" s="8"/>
      <c r="E133" s="10"/>
      <c r="F133" s="10"/>
      <c r="G133" s="8"/>
      <c r="H133" s="8"/>
      <c r="I133" s="8"/>
      <c r="J133" s="8"/>
      <c r="K133" s="12"/>
      <c r="L133" s="8"/>
      <c r="M133" s="8"/>
      <c r="N133" s="9" t="str">
        <f aca="false">IF(A133="","",IF(E133="","Sem horário de partida; ","")&amp;IF(AND(B133="Voo",I133=""),"Voo sem código; ",""))</f>
        <v/>
      </c>
    </row>
    <row r="134" customFormat="false" ht="15" hidden="false" customHeight="false" outlineLevel="0" collapsed="false">
      <c r="A134" s="7"/>
      <c r="B134" s="8"/>
      <c r="C134" s="8"/>
      <c r="D134" s="8"/>
      <c r="E134" s="10"/>
      <c r="F134" s="10"/>
      <c r="G134" s="8"/>
      <c r="H134" s="8"/>
      <c r="I134" s="8"/>
      <c r="J134" s="8"/>
      <c r="K134" s="12"/>
      <c r="L134" s="8"/>
      <c r="M134" s="8"/>
      <c r="N134" s="9" t="str">
        <f aca="false">IF(A134="","",IF(E134="","Sem horário de partida; ","")&amp;IF(AND(B134="Voo",I134=""),"Voo sem código; ",""))</f>
        <v/>
      </c>
    </row>
    <row r="135" customFormat="false" ht="15" hidden="false" customHeight="false" outlineLevel="0" collapsed="false">
      <c r="A135" s="7"/>
      <c r="B135" s="8"/>
      <c r="C135" s="8"/>
      <c r="D135" s="8"/>
      <c r="E135" s="10"/>
      <c r="F135" s="10"/>
      <c r="G135" s="8"/>
      <c r="H135" s="8"/>
      <c r="I135" s="8"/>
      <c r="J135" s="8"/>
      <c r="K135" s="12"/>
      <c r="L135" s="8"/>
      <c r="M135" s="8"/>
      <c r="N135" s="9" t="str">
        <f aca="false">IF(A135="","",IF(E135="","Sem horário de partida; ","")&amp;IF(AND(B135="Voo",I135=""),"Voo sem código; ",""))</f>
        <v/>
      </c>
    </row>
    <row r="136" customFormat="false" ht="15" hidden="false" customHeight="false" outlineLevel="0" collapsed="false">
      <c r="A136" s="7"/>
      <c r="B136" s="8"/>
      <c r="C136" s="8"/>
      <c r="D136" s="8"/>
      <c r="E136" s="10"/>
      <c r="F136" s="10"/>
      <c r="G136" s="8"/>
      <c r="H136" s="8"/>
      <c r="I136" s="8"/>
      <c r="J136" s="8"/>
      <c r="K136" s="12"/>
      <c r="L136" s="8"/>
      <c r="M136" s="8"/>
      <c r="N136" s="9" t="str">
        <f aca="false">IF(A136="","",IF(E136="","Sem horário de partida; ","")&amp;IF(AND(B136="Voo",I136=""),"Voo sem código; ",""))</f>
        <v/>
      </c>
    </row>
    <row r="137" customFormat="false" ht="15" hidden="false" customHeight="false" outlineLevel="0" collapsed="false">
      <c r="A137" s="7"/>
      <c r="B137" s="8"/>
      <c r="C137" s="8"/>
      <c r="D137" s="8"/>
      <c r="E137" s="10"/>
      <c r="F137" s="10"/>
      <c r="G137" s="8"/>
      <c r="H137" s="8"/>
      <c r="I137" s="8"/>
      <c r="J137" s="8"/>
      <c r="K137" s="12"/>
      <c r="L137" s="8"/>
      <c r="M137" s="8"/>
      <c r="N137" s="9" t="str">
        <f aca="false">IF(A137="","",IF(E137="","Sem horário de partida; ","")&amp;IF(AND(B137="Voo",I137=""),"Voo sem código; ",""))</f>
        <v/>
      </c>
    </row>
    <row r="138" customFormat="false" ht="15" hidden="false" customHeight="false" outlineLevel="0" collapsed="false">
      <c r="A138" s="7"/>
      <c r="B138" s="8"/>
      <c r="C138" s="8"/>
      <c r="D138" s="8"/>
      <c r="E138" s="10"/>
      <c r="F138" s="10"/>
      <c r="G138" s="8"/>
      <c r="H138" s="8"/>
      <c r="I138" s="8"/>
      <c r="J138" s="8"/>
      <c r="K138" s="12"/>
      <c r="L138" s="8"/>
      <c r="M138" s="8"/>
      <c r="N138" s="9" t="str">
        <f aca="false">IF(A138="","",IF(E138="","Sem horário de partida; ","")&amp;IF(AND(B138="Voo",I138=""),"Voo sem código; ",""))</f>
        <v/>
      </c>
    </row>
    <row r="139" customFormat="false" ht="15" hidden="false" customHeight="false" outlineLevel="0" collapsed="false">
      <c r="A139" s="7"/>
      <c r="B139" s="8"/>
      <c r="C139" s="8"/>
      <c r="D139" s="8"/>
      <c r="E139" s="10"/>
      <c r="F139" s="10"/>
      <c r="G139" s="8"/>
      <c r="H139" s="8"/>
      <c r="I139" s="8"/>
      <c r="J139" s="8"/>
      <c r="K139" s="12"/>
      <c r="L139" s="8"/>
      <c r="M139" s="8"/>
      <c r="N139" s="9" t="str">
        <f aca="false">IF(A139="","",IF(E139="","Sem horário de partida; ","")&amp;IF(AND(B139="Voo",I139=""),"Voo sem código; ",""))</f>
        <v/>
      </c>
    </row>
    <row r="140" customFormat="false" ht="15" hidden="false" customHeight="false" outlineLevel="0" collapsed="false">
      <c r="A140" s="7"/>
      <c r="B140" s="8"/>
      <c r="C140" s="8"/>
      <c r="D140" s="8"/>
      <c r="E140" s="10"/>
      <c r="F140" s="10"/>
      <c r="G140" s="8"/>
      <c r="H140" s="8"/>
      <c r="I140" s="8"/>
      <c r="J140" s="8"/>
      <c r="K140" s="12"/>
      <c r="L140" s="8"/>
      <c r="M140" s="8"/>
      <c r="N140" s="9" t="str">
        <f aca="false">IF(A140="","",IF(E140="","Sem horário de partida; ","")&amp;IF(AND(B140="Voo",I140=""),"Voo sem código; ",""))</f>
        <v/>
      </c>
    </row>
    <row r="141" customFormat="false" ht="15" hidden="false" customHeight="false" outlineLevel="0" collapsed="false">
      <c r="A141" s="7"/>
      <c r="B141" s="8"/>
      <c r="C141" s="8"/>
      <c r="D141" s="8"/>
      <c r="E141" s="10"/>
      <c r="F141" s="10"/>
      <c r="G141" s="8"/>
      <c r="H141" s="8"/>
      <c r="I141" s="8"/>
      <c r="J141" s="8"/>
      <c r="K141" s="12"/>
      <c r="L141" s="8"/>
      <c r="M141" s="8"/>
      <c r="N141" s="9" t="str">
        <f aca="false">IF(A141="","",IF(E141="","Sem horário de partida; ","")&amp;IF(AND(B141="Voo",I141=""),"Voo sem código; ",""))</f>
        <v/>
      </c>
    </row>
    <row r="142" customFormat="false" ht="15" hidden="false" customHeight="false" outlineLevel="0" collapsed="false">
      <c r="A142" s="7"/>
      <c r="B142" s="8"/>
      <c r="C142" s="8"/>
      <c r="D142" s="8"/>
      <c r="E142" s="10"/>
      <c r="F142" s="10"/>
      <c r="G142" s="8"/>
      <c r="H142" s="8"/>
      <c r="I142" s="8"/>
      <c r="J142" s="8"/>
      <c r="K142" s="12"/>
      <c r="L142" s="8"/>
      <c r="M142" s="8"/>
      <c r="N142" s="9" t="str">
        <f aca="false">IF(A142="","",IF(E142="","Sem horário de partida; ","")&amp;IF(AND(B142="Voo",I142=""),"Voo sem código; ",""))</f>
        <v/>
      </c>
    </row>
    <row r="143" customFormat="false" ht="15" hidden="false" customHeight="false" outlineLevel="0" collapsed="false">
      <c r="A143" s="7"/>
      <c r="B143" s="8"/>
      <c r="C143" s="8"/>
      <c r="D143" s="8"/>
      <c r="E143" s="10"/>
      <c r="F143" s="10"/>
      <c r="G143" s="8"/>
      <c r="H143" s="8"/>
      <c r="I143" s="8"/>
      <c r="J143" s="8"/>
      <c r="K143" s="12"/>
      <c r="L143" s="8"/>
      <c r="M143" s="8"/>
      <c r="N143" s="9" t="str">
        <f aca="false">IF(A143="","",IF(E143="","Sem horário de partida; ","")&amp;IF(AND(B143="Voo",I143=""),"Voo sem código; ",""))</f>
        <v/>
      </c>
    </row>
    <row r="144" customFormat="false" ht="15" hidden="false" customHeight="false" outlineLevel="0" collapsed="false">
      <c r="A144" s="7"/>
      <c r="B144" s="8"/>
      <c r="C144" s="8"/>
      <c r="D144" s="8"/>
      <c r="E144" s="10"/>
      <c r="F144" s="10"/>
      <c r="G144" s="8"/>
      <c r="H144" s="8"/>
      <c r="I144" s="8"/>
      <c r="J144" s="8"/>
      <c r="K144" s="12"/>
      <c r="L144" s="8"/>
      <c r="M144" s="8"/>
      <c r="N144" s="9" t="str">
        <f aca="false">IF(A144="","",IF(E144="","Sem horário de partida; ","")&amp;IF(AND(B144="Voo",I144=""),"Voo sem código; ",""))</f>
        <v/>
      </c>
    </row>
    <row r="145" customFormat="false" ht="15" hidden="false" customHeight="false" outlineLevel="0" collapsed="false">
      <c r="A145" s="7"/>
      <c r="B145" s="8"/>
      <c r="C145" s="8"/>
      <c r="D145" s="8"/>
      <c r="E145" s="10"/>
      <c r="F145" s="10"/>
      <c r="G145" s="8"/>
      <c r="H145" s="8"/>
      <c r="I145" s="8"/>
      <c r="J145" s="8"/>
      <c r="K145" s="12"/>
      <c r="L145" s="8"/>
      <c r="M145" s="8"/>
      <c r="N145" s="9" t="str">
        <f aca="false">IF(A145="","",IF(E145="","Sem horário de partida; ","")&amp;IF(AND(B145="Voo",I145=""),"Voo sem código; ",""))</f>
        <v/>
      </c>
    </row>
    <row r="146" customFormat="false" ht="15" hidden="false" customHeight="false" outlineLevel="0" collapsed="false">
      <c r="A146" s="7"/>
      <c r="B146" s="8"/>
      <c r="C146" s="8"/>
      <c r="D146" s="8"/>
      <c r="E146" s="10"/>
      <c r="F146" s="10"/>
      <c r="G146" s="8"/>
      <c r="H146" s="8"/>
      <c r="I146" s="8"/>
      <c r="J146" s="8"/>
      <c r="K146" s="12"/>
      <c r="L146" s="8"/>
      <c r="M146" s="8"/>
      <c r="N146" s="9" t="str">
        <f aca="false">IF(A146="","",IF(E146="","Sem horário de partida; ","")&amp;IF(AND(B146="Voo",I146=""),"Voo sem código; ",""))</f>
        <v/>
      </c>
    </row>
    <row r="147" customFormat="false" ht="15" hidden="false" customHeight="false" outlineLevel="0" collapsed="false">
      <c r="A147" s="7"/>
      <c r="B147" s="8"/>
      <c r="C147" s="8"/>
      <c r="D147" s="8"/>
      <c r="E147" s="10"/>
      <c r="F147" s="10"/>
      <c r="G147" s="8"/>
      <c r="H147" s="8"/>
      <c r="I147" s="8"/>
      <c r="J147" s="8"/>
      <c r="K147" s="12"/>
      <c r="L147" s="8"/>
      <c r="M147" s="8"/>
      <c r="N147" s="9" t="str">
        <f aca="false">IF(A147="","",IF(E147="","Sem horário de partida; ","")&amp;IF(AND(B147="Voo",I147=""),"Voo sem código; ",""))</f>
        <v/>
      </c>
    </row>
    <row r="148" customFormat="false" ht="15" hidden="false" customHeight="false" outlineLevel="0" collapsed="false">
      <c r="A148" s="7"/>
      <c r="B148" s="8"/>
      <c r="C148" s="8"/>
      <c r="D148" s="8"/>
      <c r="E148" s="10"/>
      <c r="F148" s="10"/>
      <c r="G148" s="8"/>
      <c r="H148" s="8"/>
      <c r="I148" s="8"/>
      <c r="J148" s="8"/>
      <c r="K148" s="12"/>
      <c r="L148" s="8"/>
      <c r="M148" s="8"/>
      <c r="N148" s="9" t="str">
        <f aca="false">IF(A148="","",IF(E148="","Sem horário de partida; ","")&amp;IF(AND(B148="Voo",I148=""),"Voo sem código; ",""))</f>
        <v/>
      </c>
    </row>
    <row r="149" customFormat="false" ht="15" hidden="false" customHeight="false" outlineLevel="0" collapsed="false">
      <c r="A149" s="7"/>
      <c r="B149" s="8"/>
      <c r="C149" s="8"/>
      <c r="D149" s="8"/>
      <c r="E149" s="10"/>
      <c r="F149" s="10"/>
      <c r="G149" s="8"/>
      <c r="H149" s="8"/>
      <c r="I149" s="8"/>
      <c r="J149" s="8"/>
      <c r="K149" s="12"/>
      <c r="L149" s="8"/>
      <c r="M149" s="8"/>
      <c r="N149" s="9" t="str">
        <f aca="false">IF(A149="","",IF(E149="","Sem horário de partida; ","")&amp;IF(AND(B149="Voo",I149=""),"Voo sem código; ",""))</f>
        <v/>
      </c>
    </row>
    <row r="150" customFormat="false" ht="15" hidden="false" customHeight="false" outlineLevel="0" collapsed="false">
      <c r="A150" s="7"/>
      <c r="B150" s="8"/>
      <c r="C150" s="8"/>
      <c r="D150" s="8"/>
      <c r="E150" s="10"/>
      <c r="F150" s="10"/>
      <c r="G150" s="8"/>
      <c r="H150" s="8"/>
      <c r="I150" s="8"/>
      <c r="J150" s="8"/>
      <c r="K150" s="12"/>
      <c r="L150" s="8"/>
      <c r="M150" s="8"/>
      <c r="N150" s="9" t="str">
        <f aca="false">IF(A150="","",IF(E150="","Sem horário de partida; ","")&amp;IF(AND(B150="Voo",I150=""),"Voo sem código; ",""))</f>
        <v/>
      </c>
    </row>
    <row r="151" customFormat="false" ht="15" hidden="false" customHeight="false" outlineLevel="0" collapsed="false">
      <c r="A151" s="7"/>
      <c r="B151" s="8"/>
      <c r="C151" s="8"/>
      <c r="D151" s="8"/>
      <c r="E151" s="10"/>
      <c r="F151" s="10"/>
      <c r="G151" s="8"/>
      <c r="H151" s="8"/>
      <c r="I151" s="8"/>
      <c r="J151" s="8"/>
      <c r="K151" s="12"/>
      <c r="L151" s="8"/>
      <c r="M151" s="8"/>
      <c r="N151" s="9" t="str">
        <f aca="false">IF(A151="","",IF(E151="","Sem horário de partida; ","")&amp;IF(AND(B151="Voo",I151=""),"Voo sem código; ",""))</f>
        <v/>
      </c>
    </row>
    <row r="152" customFormat="false" ht="15" hidden="false" customHeight="false" outlineLevel="0" collapsed="false">
      <c r="A152" s="7"/>
      <c r="B152" s="8"/>
      <c r="C152" s="8"/>
      <c r="D152" s="8"/>
      <c r="E152" s="10"/>
      <c r="F152" s="10"/>
      <c r="G152" s="8"/>
      <c r="H152" s="8"/>
      <c r="I152" s="8"/>
      <c r="J152" s="8"/>
      <c r="K152" s="12"/>
      <c r="L152" s="8"/>
      <c r="M152" s="8"/>
      <c r="N152" s="9" t="str">
        <f aca="false">IF(A152="","",IF(E152="","Sem horário de partida; ","")&amp;IF(AND(B152="Voo",I152=""),"Voo sem código; ",""))</f>
        <v/>
      </c>
    </row>
    <row r="153" customFormat="false" ht="15" hidden="false" customHeight="false" outlineLevel="0" collapsed="false">
      <c r="A153" s="7"/>
      <c r="B153" s="8"/>
      <c r="C153" s="8"/>
      <c r="D153" s="8"/>
      <c r="E153" s="10"/>
      <c r="F153" s="10"/>
      <c r="G153" s="8"/>
      <c r="H153" s="8"/>
      <c r="I153" s="8"/>
      <c r="J153" s="8"/>
      <c r="K153" s="12"/>
      <c r="L153" s="8"/>
      <c r="M153" s="8"/>
      <c r="N153" s="9" t="str">
        <f aca="false">IF(A153="","",IF(E153="","Sem horário de partida; ","")&amp;IF(AND(B153="Voo",I153=""),"Voo sem código; ",""))</f>
        <v/>
      </c>
    </row>
    <row r="154" customFormat="false" ht="15" hidden="false" customHeight="false" outlineLevel="0" collapsed="false">
      <c r="A154" s="7"/>
      <c r="B154" s="8"/>
      <c r="C154" s="8"/>
      <c r="D154" s="8"/>
      <c r="E154" s="10"/>
      <c r="F154" s="10"/>
      <c r="G154" s="8"/>
      <c r="H154" s="8"/>
      <c r="I154" s="8"/>
      <c r="J154" s="8"/>
      <c r="K154" s="12"/>
      <c r="L154" s="8"/>
      <c r="M154" s="8"/>
      <c r="N154" s="9" t="str">
        <f aca="false">IF(A154="","",IF(E154="","Sem horário de partida; ","")&amp;IF(AND(B154="Voo",I154=""),"Voo sem código; ",""))</f>
        <v/>
      </c>
    </row>
    <row r="155" customFormat="false" ht="15" hidden="false" customHeight="false" outlineLevel="0" collapsed="false">
      <c r="A155" s="7"/>
      <c r="B155" s="8"/>
      <c r="C155" s="8"/>
      <c r="D155" s="8"/>
      <c r="E155" s="10"/>
      <c r="F155" s="10"/>
      <c r="G155" s="8"/>
      <c r="H155" s="8"/>
      <c r="I155" s="8"/>
      <c r="J155" s="8"/>
      <c r="K155" s="12"/>
      <c r="L155" s="8"/>
      <c r="M155" s="8"/>
      <c r="N155" s="9" t="str">
        <f aca="false">IF(A155="","",IF(E155="","Sem horário de partida; ","")&amp;IF(AND(B155="Voo",I155=""),"Voo sem código; ",""))</f>
        <v/>
      </c>
    </row>
    <row r="156" customFormat="false" ht="15" hidden="false" customHeight="false" outlineLevel="0" collapsed="false">
      <c r="A156" s="7"/>
      <c r="B156" s="8"/>
      <c r="C156" s="8"/>
      <c r="D156" s="8"/>
      <c r="E156" s="10"/>
      <c r="F156" s="10"/>
      <c r="G156" s="8"/>
      <c r="H156" s="8"/>
      <c r="I156" s="8"/>
      <c r="J156" s="8"/>
      <c r="K156" s="12"/>
      <c r="L156" s="8"/>
      <c r="M156" s="8"/>
      <c r="N156" s="9" t="str">
        <f aca="false">IF(A156="","",IF(E156="","Sem horário de partida; ","")&amp;IF(AND(B156="Voo",I156=""),"Voo sem código; ",""))</f>
        <v/>
      </c>
    </row>
    <row r="157" customFormat="false" ht="15" hidden="false" customHeight="false" outlineLevel="0" collapsed="false">
      <c r="A157" s="7"/>
      <c r="B157" s="8"/>
      <c r="C157" s="8"/>
      <c r="D157" s="8"/>
      <c r="E157" s="10"/>
      <c r="F157" s="10"/>
      <c r="G157" s="8"/>
      <c r="H157" s="8"/>
      <c r="I157" s="8"/>
      <c r="J157" s="8"/>
      <c r="K157" s="12"/>
      <c r="L157" s="8"/>
      <c r="M157" s="8"/>
      <c r="N157" s="9" t="str">
        <f aca="false">IF(A157="","",IF(E157="","Sem horário de partida; ","")&amp;IF(AND(B157="Voo",I157=""),"Voo sem código; ",""))</f>
        <v/>
      </c>
    </row>
    <row r="158" customFormat="false" ht="15" hidden="false" customHeight="false" outlineLevel="0" collapsed="false">
      <c r="A158" s="7"/>
      <c r="B158" s="8"/>
      <c r="C158" s="8"/>
      <c r="D158" s="8"/>
      <c r="E158" s="10"/>
      <c r="F158" s="10"/>
      <c r="G158" s="8"/>
      <c r="H158" s="8"/>
      <c r="I158" s="8"/>
      <c r="J158" s="8"/>
      <c r="K158" s="12"/>
      <c r="L158" s="8"/>
      <c r="M158" s="8"/>
      <c r="N158" s="9" t="str">
        <f aca="false">IF(A158="","",IF(E158="","Sem horário de partida; ","")&amp;IF(AND(B158="Voo",I158=""),"Voo sem código; ",""))</f>
        <v/>
      </c>
    </row>
    <row r="159" customFormat="false" ht="15" hidden="false" customHeight="false" outlineLevel="0" collapsed="false">
      <c r="A159" s="7"/>
      <c r="B159" s="8"/>
      <c r="C159" s="8"/>
      <c r="D159" s="8"/>
      <c r="E159" s="10"/>
      <c r="F159" s="10"/>
      <c r="G159" s="8"/>
      <c r="H159" s="8"/>
      <c r="I159" s="8"/>
      <c r="J159" s="8"/>
      <c r="K159" s="12"/>
      <c r="L159" s="8"/>
      <c r="M159" s="8"/>
      <c r="N159" s="9" t="str">
        <f aca="false">IF(A159="","",IF(E159="","Sem horário de partida; ","")&amp;IF(AND(B159="Voo",I159=""),"Voo sem código; ",""))</f>
        <v/>
      </c>
    </row>
    <row r="160" customFormat="false" ht="15" hidden="false" customHeight="false" outlineLevel="0" collapsed="false">
      <c r="A160" s="7"/>
      <c r="B160" s="8"/>
      <c r="C160" s="8"/>
      <c r="D160" s="8"/>
      <c r="E160" s="10"/>
      <c r="F160" s="10"/>
      <c r="G160" s="8"/>
      <c r="H160" s="8"/>
      <c r="I160" s="8"/>
      <c r="J160" s="8"/>
      <c r="K160" s="12"/>
      <c r="L160" s="8"/>
      <c r="M160" s="8"/>
      <c r="N160" s="9" t="str">
        <f aca="false">IF(A160="","",IF(E160="","Sem horário de partida; ","")&amp;IF(AND(B160="Voo",I160=""),"Voo sem código; ",""))</f>
        <v/>
      </c>
    </row>
    <row r="161" customFormat="false" ht="15" hidden="false" customHeight="false" outlineLevel="0" collapsed="false">
      <c r="A161" s="7"/>
      <c r="B161" s="8"/>
      <c r="C161" s="8"/>
      <c r="D161" s="8"/>
      <c r="E161" s="10"/>
      <c r="F161" s="10"/>
      <c r="G161" s="8"/>
      <c r="H161" s="8"/>
      <c r="I161" s="8"/>
      <c r="J161" s="8"/>
      <c r="K161" s="12"/>
      <c r="L161" s="8"/>
      <c r="M161" s="8"/>
      <c r="N161" s="9" t="str">
        <f aca="false">IF(A161="","",IF(E161="","Sem horário de partida; ","")&amp;IF(AND(B161="Voo",I161=""),"Voo sem código; ",""))</f>
        <v/>
      </c>
    </row>
    <row r="162" customFormat="false" ht="15" hidden="false" customHeight="false" outlineLevel="0" collapsed="false">
      <c r="A162" s="7"/>
      <c r="B162" s="8"/>
      <c r="C162" s="8"/>
      <c r="D162" s="8"/>
      <c r="E162" s="10"/>
      <c r="F162" s="10"/>
      <c r="G162" s="8"/>
      <c r="H162" s="8"/>
      <c r="I162" s="8"/>
      <c r="J162" s="8"/>
      <c r="K162" s="12"/>
      <c r="L162" s="8"/>
      <c r="M162" s="8"/>
      <c r="N162" s="9" t="str">
        <f aca="false">IF(A162="","",IF(E162="","Sem horário de partida; ","")&amp;IF(AND(B162="Voo",I162=""),"Voo sem código; ",""))</f>
        <v/>
      </c>
    </row>
    <row r="163" customFormat="false" ht="15" hidden="false" customHeight="false" outlineLevel="0" collapsed="false">
      <c r="A163" s="7"/>
      <c r="B163" s="8"/>
      <c r="C163" s="8"/>
      <c r="D163" s="8"/>
      <c r="E163" s="10"/>
      <c r="F163" s="10"/>
      <c r="G163" s="8"/>
      <c r="H163" s="8"/>
      <c r="I163" s="8"/>
      <c r="J163" s="8"/>
      <c r="K163" s="12"/>
      <c r="L163" s="8"/>
      <c r="M163" s="8"/>
      <c r="N163" s="9" t="str">
        <f aca="false">IF(A163="","",IF(E163="","Sem horário de partida; ","")&amp;IF(AND(B163="Voo",I163=""),"Voo sem código; ",""))</f>
        <v/>
      </c>
    </row>
    <row r="164" customFormat="false" ht="15" hidden="false" customHeight="false" outlineLevel="0" collapsed="false">
      <c r="A164" s="7"/>
      <c r="B164" s="8"/>
      <c r="C164" s="8"/>
      <c r="D164" s="8"/>
      <c r="E164" s="10"/>
      <c r="F164" s="10"/>
      <c r="G164" s="8"/>
      <c r="H164" s="8"/>
      <c r="I164" s="8"/>
      <c r="J164" s="8"/>
      <c r="K164" s="12"/>
      <c r="L164" s="8"/>
      <c r="M164" s="8"/>
      <c r="N164" s="9" t="str">
        <f aca="false">IF(A164="","",IF(E164="","Sem horário de partida; ","")&amp;IF(AND(B164="Voo",I164=""),"Voo sem código; ",""))</f>
        <v/>
      </c>
    </row>
    <row r="165" customFormat="false" ht="15" hidden="false" customHeight="false" outlineLevel="0" collapsed="false">
      <c r="A165" s="7"/>
      <c r="B165" s="8"/>
      <c r="C165" s="8"/>
      <c r="D165" s="8"/>
      <c r="E165" s="10"/>
      <c r="F165" s="10"/>
      <c r="G165" s="8"/>
      <c r="H165" s="8"/>
      <c r="I165" s="8"/>
      <c r="J165" s="8"/>
      <c r="K165" s="12"/>
      <c r="L165" s="8"/>
      <c r="M165" s="8"/>
      <c r="N165" s="9" t="str">
        <f aca="false">IF(A165="","",IF(E165="","Sem horário de partida; ","")&amp;IF(AND(B165="Voo",I165=""),"Voo sem código; ",""))</f>
        <v/>
      </c>
    </row>
    <row r="166" customFormat="false" ht="15" hidden="false" customHeight="false" outlineLevel="0" collapsed="false">
      <c r="A166" s="7"/>
      <c r="B166" s="8"/>
      <c r="C166" s="8"/>
      <c r="D166" s="8"/>
      <c r="E166" s="10"/>
      <c r="F166" s="10"/>
      <c r="G166" s="8"/>
      <c r="H166" s="8"/>
      <c r="I166" s="8"/>
      <c r="J166" s="8"/>
      <c r="K166" s="12"/>
      <c r="L166" s="8"/>
      <c r="M166" s="8"/>
      <c r="N166" s="9" t="str">
        <f aca="false">IF(A166="","",IF(E166="","Sem horário de partida; ","")&amp;IF(AND(B166="Voo",I166=""),"Voo sem código; ",""))</f>
        <v/>
      </c>
    </row>
    <row r="167" customFormat="false" ht="15" hidden="false" customHeight="false" outlineLevel="0" collapsed="false">
      <c r="A167" s="7"/>
      <c r="B167" s="8"/>
      <c r="C167" s="8"/>
      <c r="D167" s="8"/>
      <c r="E167" s="10"/>
      <c r="F167" s="10"/>
      <c r="G167" s="8"/>
      <c r="H167" s="8"/>
      <c r="I167" s="8"/>
      <c r="J167" s="8"/>
      <c r="K167" s="12"/>
      <c r="L167" s="8"/>
      <c r="M167" s="8"/>
      <c r="N167" s="9" t="str">
        <f aca="false">IF(A167="","",IF(E167="","Sem horário de partida; ","")&amp;IF(AND(B167="Voo",I167=""),"Voo sem código; ",""))</f>
        <v/>
      </c>
    </row>
    <row r="168" customFormat="false" ht="15" hidden="false" customHeight="false" outlineLevel="0" collapsed="false">
      <c r="A168" s="7"/>
      <c r="B168" s="8"/>
      <c r="C168" s="8"/>
      <c r="D168" s="8"/>
      <c r="E168" s="10"/>
      <c r="F168" s="10"/>
      <c r="G168" s="8"/>
      <c r="H168" s="8"/>
      <c r="I168" s="8"/>
      <c r="J168" s="8"/>
      <c r="K168" s="12"/>
      <c r="L168" s="8"/>
      <c r="M168" s="8"/>
      <c r="N168" s="9" t="str">
        <f aca="false">IF(A168="","",IF(E168="","Sem horário de partida; ","")&amp;IF(AND(B168="Voo",I168=""),"Voo sem código; ",""))</f>
        <v/>
      </c>
    </row>
    <row r="169" customFormat="false" ht="15" hidden="false" customHeight="false" outlineLevel="0" collapsed="false">
      <c r="A169" s="7"/>
      <c r="B169" s="8"/>
      <c r="C169" s="8"/>
      <c r="D169" s="8"/>
      <c r="E169" s="10"/>
      <c r="F169" s="10"/>
      <c r="G169" s="8"/>
      <c r="H169" s="8"/>
      <c r="I169" s="8"/>
      <c r="J169" s="8"/>
      <c r="K169" s="12"/>
      <c r="L169" s="8"/>
      <c r="M169" s="8"/>
      <c r="N169" s="9" t="str">
        <f aca="false">IF(A169="","",IF(E169="","Sem horário de partida; ","")&amp;IF(AND(B169="Voo",I169=""),"Voo sem código; ",""))</f>
        <v/>
      </c>
    </row>
    <row r="170" customFormat="false" ht="15" hidden="false" customHeight="false" outlineLevel="0" collapsed="false">
      <c r="A170" s="7"/>
      <c r="B170" s="8"/>
      <c r="C170" s="8"/>
      <c r="D170" s="8"/>
      <c r="E170" s="10"/>
      <c r="F170" s="10"/>
      <c r="G170" s="8"/>
      <c r="H170" s="8"/>
      <c r="I170" s="8"/>
      <c r="J170" s="8"/>
      <c r="K170" s="12"/>
      <c r="L170" s="8"/>
      <c r="M170" s="8"/>
      <c r="N170" s="9" t="str">
        <f aca="false">IF(A170="","",IF(E170="","Sem horário de partida; ","")&amp;IF(AND(B170="Voo",I170=""),"Voo sem código; ",""))</f>
        <v/>
      </c>
    </row>
    <row r="171" customFormat="false" ht="15" hidden="false" customHeight="false" outlineLevel="0" collapsed="false">
      <c r="A171" s="7"/>
      <c r="B171" s="8"/>
      <c r="C171" s="8"/>
      <c r="D171" s="8"/>
      <c r="E171" s="10"/>
      <c r="F171" s="10"/>
      <c r="G171" s="8"/>
      <c r="H171" s="8"/>
      <c r="I171" s="8"/>
      <c r="J171" s="8"/>
      <c r="K171" s="12"/>
      <c r="L171" s="8"/>
      <c r="M171" s="8"/>
      <c r="N171" s="9" t="str">
        <f aca="false">IF(A171="","",IF(E171="","Sem horário de partida; ","")&amp;IF(AND(B171="Voo",I171=""),"Voo sem código; ",""))</f>
        <v/>
      </c>
    </row>
    <row r="172" customFormat="false" ht="15" hidden="false" customHeight="false" outlineLevel="0" collapsed="false">
      <c r="A172" s="7"/>
      <c r="B172" s="8"/>
      <c r="C172" s="8"/>
      <c r="D172" s="8"/>
      <c r="E172" s="10"/>
      <c r="F172" s="10"/>
      <c r="G172" s="8"/>
      <c r="H172" s="8"/>
      <c r="I172" s="8"/>
      <c r="J172" s="8"/>
      <c r="K172" s="12"/>
      <c r="L172" s="8"/>
      <c r="M172" s="8"/>
      <c r="N172" s="9" t="str">
        <f aca="false">IF(A172="","",IF(E172="","Sem horário de partida; ","")&amp;IF(AND(B172="Voo",I172=""),"Voo sem código; ",""))</f>
        <v/>
      </c>
    </row>
    <row r="173" customFormat="false" ht="15" hidden="false" customHeight="false" outlineLevel="0" collapsed="false">
      <c r="A173" s="7"/>
      <c r="B173" s="8"/>
      <c r="C173" s="8"/>
      <c r="D173" s="8"/>
      <c r="E173" s="10"/>
      <c r="F173" s="10"/>
      <c r="G173" s="8"/>
      <c r="H173" s="8"/>
      <c r="I173" s="8"/>
      <c r="J173" s="8"/>
      <c r="K173" s="12"/>
      <c r="L173" s="8"/>
      <c r="M173" s="8"/>
      <c r="N173" s="9" t="str">
        <f aca="false">IF(A173="","",IF(E173="","Sem horário de partida; ","")&amp;IF(AND(B173="Voo",I173=""),"Voo sem código; ",""))</f>
        <v/>
      </c>
    </row>
    <row r="174" customFormat="false" ht="15" hidden="false" customHeight="false" outlineLevel="0" collapsed="false">
      <c r="A174" s="7"/>
      <c r="B174" s="8"/>
      <c r="C174" s="8"/>
      <c r="D174" s="8"/>
      <c r="E174" s="10"/>
      <c r="F174" s="10"/>
      <c r="G174" s="8"/>
      <c r="H174" s="8"/>
      <c r="I174" s="8"/>
      <c r="J174" s="8"/>
      <c r="K174" s="12"/>
      <c r="L174" s="8"/>
      <c r="M174" s="8"/>
      <c r="N174" s="9" t="str">
        <f aca="false">IF(A174="","",IF(E174="","Sem horário de partida; ","")&amp;IF(AND(B174="Voo",I174=""),"Voo sem código; ",""))</f>
        <v/>
      </c>
    </row>
    <row r="175" customFormat="false" ht="15" hidden="false" customHeight="false" outlineLevel="0" collapsed="false">
      <c r="A175" s="7"/>
      <c r="B175" s="8"/>
      <c r="C175" s="8"/>
      <c r="D175" s="8"/>
      <c r="E175" s="10"/>
      <c r="F175" s="10"/>
      <c r="G175" s="8"/>
      <c r="H175" s="8"/>
      <c r="I175" s="8"/>
      <c r="J175" s="8"/>
      <c r="K175" s="12"/>
      <c r="L175" s="8"/>
      <c r="M175" s="8"/>
      <c r="N175" s="9" t="str">
        <f aca="false">IF(A175="","",IF(E175="","Sem horário de partida; ","")&amp;IF(AND(B175="Voo",I175=""),"Voo sem código; ",""))</f>
        <v/>
      </c>
    </row>
    <row r="176" customFormat="false" ht="15" hidden="false" customHeight="false" outlineLevel="0" collapsed="false">
      <c r="A176" s="7"/>
      <c r="B176" s="8"/>
      <c r="C176" s="8"/>
      <c r="D176" s="8"/>
      <c r="E176" s="10"/>
      <c r="F176" s="10"/>
      <c r="G176" s="8"/>
      <c r="H176" s="8"/>
      <c r="I176" s="8"/>
      <c r="J176" s="8"/>
      <c r="K176" s="12"/>
      <c r="L176" s="8"/>
      <c r="M176" s="8"/>
      <c r="N176" s="9" t="str">
        <f aca="false">IF(A176="","",IF(E176="","Sem horário de partida; ","")&amp;IF(AND(B176="Voo",I176=""),"Voo sem código; ",""))</f>
        <v/>
      </c>
    </row>
    <row r="177" customFormat="false" ht="15" hidden="false" customHeight="false" outlineLevel="0" collapsed="false">
      <c r="A177" s="7"/>
      <c r="B177" s="8"/>
      <c r="C177" s="8"/>
      <c r="D177" s="8"/>
      <c r="E177" s="10"/>
      <c r="F177" s="10"/>
      <c r="G177" s="8"/>
      <c r="H177" s="8"/>
      <c r="I177" s="8"/>
      <c r="J177" s="8"/>
      <c r="K177" s="12"/>
      <c r="L177" s="8"/>
      <c r="M177" s="8"/>
      <c r="N177" s="9" t="str">
        <f aca="false">IF(A177="","",IF(E177="","Sem horário de partida; ","")&amp;IF(AND(B177="Voo",I177=""),"Voo sem código; ",""))</f>
        <v/>
      </c>
    </row>
    <row r="178" customFormat="false" ht="15" hidden="false" customHeight="false" outlineLevel="0" collapsed="false">
      <c r="A178" s="7"/>
      <c r="B178" s="8"/>
      <c r="C178" s="8"/>
      <c r="D178" s="8"/>
      <c r="E178" s="10"/>
      <c r="F178" s="10"/>
      <c r="G178" s="8"/>
      <c r="H178" s="8"/>
      <c r="I178" s="8"/>
      <c r="J178" s="8"/>
      <c r="K178" s="12"/>
      <c r="L178" s="8"/>
      <c r="M178" s="8"/>
      <c r="N178" s="9" t="str">
        <f aca="false">IF(A178="","",IF(E178="","Sem horário de partida; ","")&amp;IF(AND(B178="Voo",I178=""),"Voo sem código; ",""))</f>
        <v/>
      </c>
    </row>
    <row r="179" customFormat="false" ht="15" hidden="false" customHeight="false" outlineLevel="0" collapsed="false">
      <c r="A179" s="7"/>
      <c r="B179" s="8"/>
      <c r="C179" s="8"/>
      <c r="D179" s="8"/>
      <c r="E179" s="10"/>
      <c r="F179" s="10"/>
      <c r="G179" s="8"/>
      <c r="H179" s="8"/>
      <c r="I179" s="8"/>
      <c r="J179" s="8"/>
      <c r="K179" s="12"/>
      <c r="L179" s="8"/>
      <c r="M179" s="8"/>
      <c r="N179" s="9" t="str">
        <f aca="false">IF(A179="","",IF(E179="","Sem horário de partida; ","")&amp;IF(AND(B179="Voo",I179=""),"Voo sem código; ",""))</f>
        <v/>
      </c>
    </row>
    <row r="180" customFormat="false" ht="15" hidden="false" customHeight="false" outlineLevel="0" collapsed="false">
      <c r="A180" s="7"/>
      <c r="B180" s="8"/>
      <c r="C180" s="8"/>
      <c r="D180" s="8"/>
      <c r="E180" s="10"/>
      <c r="F180" s="10"/>
      <c r="G180" s="8"/>
      <c r="H180" s="8"/>
      <c r="I180" s="8"/>
      <c r="J180" s="8"/>
      <c r="K180" s="12"/>
      <c r="L180" s="8"/>
      <c r="M180" s="8"/>
      <c r="N180" s="9" t="str">
        <f aca="false">IF(A180="","",IF(E180="","Sem horário de partida; ","")&amp;IF(AND(B180="Voo",I180=""),"Voo sem código; ",""))</f>
        <v/>
      </c>
    </row>
    <row r="181" customFormat="false" ht="15" hidden="false" customHeight="false" outlineLevel="0" collapsed="false">
      <c r="A181" s="7"/>
      <c r="B181" s="8"/>
      <c r="C181" s="8"/>
      <c r="D181" s="8"/>
      <c r="E181" s="10"/>
      <c r="F181" s="10"/>
      <c r="G181" s="8"/>
      <c r="H181" s="8"/>
      <c r="I181" s="8"/>
      <c r="J181" s="8"/>
      <c r="K181" s="12"/>
      <c r="L181" s="8"/>
      <c r="M181" s="8"/>
      <c r="N181" s="9" t="str">
        <f aca="false">IF(A181="","",IF(E181="","Sem horário de partida; ","")&amp;IF(AND(B181="Voo",I181=""),"Voo sem código; ",""))</f>
        <v/>
      </c>
    </row>
    <row r="182" customFormat="false" ht="15" hidden="false" customHeight="false" outlineLevel="0" collapsed="false">
      <c r="A182" s="7"/>
      <c r="B182" s="8"/>
      <c r="C182" s="8"/>
      <c r="D182" s="8"/>
      <c r="E182" s="10"/>
      <c r="F182" s="10"/>
      <c r="G182" s="8"/>
      <c r="H182" s="8"/>
      <c r="I182" s="8"/>
      <c r="J182" s="8"/>
      <c r="K182" s="12"/>
      <c r="L182" s="8"/>
      <c r="M182" s="8"/>
      <c r="N182" s="9" t="str">
        <f aca="false">IF(A182="","",IF(E182="","Sem horário de partida; ","")&amp;IF(AND(B182="Voo",I182=""),"Voo sem código; ",""))</f>
        <v/>
      </c>
    </row>
    <row r="183" customFormat="false" ht="15" hidden="false" customHeight="false" outlineLevel="0" collapsed="false">
      <c r="A183" s="7"/>
      <c r="B183" s="8"/>
      <c r="C183" s="8"/>
      <c r="D183" s="8"/>
      <c r="E183" s="10"/>
      <c r="F183" s="10"/>
      <c r="G183" s="8"/>
      <c r="H183" s="8"/>
      <c r="I183" s="8"/>
      <c r="J183" s="8"/>
      <c r="K183" s="12"/>
      <c r="L183" s="8"/>
      <c r="M183" s="8"/>
      <c r="N183" s="9" t="str">
        <f aca="false">IF(A183="","",IF(E183="","Sem horário de partida; ","")&amp;IF(AND(B183="Voo",I183=""),"Voo sem código; ",""))</f>
        <v/>
      </c>
    </row>
    <row r="184" customFormat="false" ht="15" hidden="false" customHeight="false" outlineLevel="0" collapsed="false">
      <c r="A184" s="7"/>
      <c r="B184" s="8"/>
      <c r="C184" s="8"/>
      <c r="D184" s="8"/>
      <c r="E184" s="10"/>
      <c r="F184" s="10"/>
      <c r="G184" s="8"/>
      <c r="H184" s="8"/>
      <c r="I184" s="8"/>
      <c r="J184" s="8"/>
      <c r="K184" s="12"/>
      <c r="L184" s="8"/>
      <c r="M184" s="8"/>
      <c r="N184" s="9" t="str">
        <f aca="false">IF(A184="","",IF(E184="","Sem horário de partida; ","")&amp;IF(AND(B184="Voo",I184=""),"Voo sem código; ",""))</f>
        <v/>
      </c>
    </row>
    <row r="185" customFormat="false" ht="15" hidden="false" customHeight="false" outlineLevel="0" collapsed="false">
      <c r="A185" s="7"/>
      <c r="B185" s="8"/>
      <c r="C185" s="8"/>
      <c r="D185" s="8"/>
      <c r="E185" s="10"/>
      <c r="F185" s="10"/>
      <c r="G185" s="8"/>
      <c r="H185" s="8"/>
      <c r="I185" s="8"/>
      <c r="J185" s="8"/>
      <c r="K185" s="12"/>
      <c r="L185" s="8"/>
      <c r="M185" s="8"/>
      <c r="N185" s="9" t="str">
        <f aca="false">IF(A185="","",IF(E185="","Sem horário de partida; ","")&amp;IF(AND(B185="Voo",I185=""),"Voo sem código; ",""))</f>
        <v/>
      </c>
    </row>
    <row r="186" customFormat="false" ht="15" hidden="false" customHeight="false" outlineLevel="0" collapsed="false">
      <c r="A186" s="7"/>
      <c r="B186" s="8"/>
      <c r="C186" s="8"/>
      <c r="D186" s="8"/>
      <c r="E186" s="10"/>
      <c r="F186" s="10"/>
      <c r="G186" s="8"/>
      <c r="H186" s="8"/>
      <c r="I186" s="8"/>
      <c r="J186" s="8"/>
      <c r="K186" s="12"/>
      <c r="L186" s="8"/>
      <c r="M186" s="8"/>
      <c r="N186" s="9" t="str">
        <f aca="false">IF(A186="","",IF(E186="","Sem horário de partida; ","")&amp;IF(AND(B186="Voo",I186=""),"Voo sem código; ",""))</f>
        <v/>
      </c>
    </row>
    <row r="187" customFormat="false" ht="15" hidden="false" customHeight="false" outlineLevel="0" collapsed="false">
      <c r="A187" s="7"/>
      <c r="B187" s="8"/>
      <c r="C187" s="8"/>
      <c r="D187" s="8"/>
      <c r="E187" s="10"/>
      <c r="F187" s="10"/>
      <c r="G187" s="8"/>
      <c r="H187" s="8"/>
      <c r="I187" s="8"/>
      <c r="J187" s="8"/>
      <c r="K187" s="12"/>
      <c r="L187" s="8"/>
      <c r="M187" s="8"/>
      <c r="N187" s="9" t="str">
        <f aca="false">IF(A187="","",IF(E187="","Sem horário de partida; ","")&amp;IF(AND(B187="Voo",I187=""),"Voo sem código; ",""))</f>
        <v/>
      </c>
    </row>
    <row r="188" customFormat="false" ht="15" hidden="false" customHeight="false" outlineLevel="0" collapsed="false">
      <c r="A188" s="7"/>
      <c r="B188" s="8"/>
      <c r="C188" s="8"/>
      <c r="D188" s="8"/>
      <c r="E188" s="10"/>
      <c r="F188" s="10"/>
      <c r="G188" s="8"/>
      <c r="H188" s="8"/>
      <c r="I188" s="8"/>
      <c r="J188" s="8"/>
      <c r="K188" s="12"/>
      <c r="L188" s="8"/>
      <c r="M188" s="8"/>
      <c r="N188" s="9" t="str">
        <f aca="false">IF(A188="","",IF(E188="","Sem horário de partida; ","")&amp;IF(AND(B188="Voo",I188=""),"Voo sem código; ",""))</f>
        <v/>
      </c>
    </row>
    <row r="189" customFormat="false" ht="15" hidden="false" customHeight="false" outlineLevel="0" collapsed="false">
      <c r="A189" s="7"/>
      <c r="B189" s="8"/>
      <c r="C189" s="8"/>
      <c r="D189" s="8"/>
      <c r="E189" s="10"/>
      <c r="F189" s="10"/>
      <c r="G189" s="8"/>
      <c r="H189" s="8"/>
      <c r="I189" s="8"/>
      <c r="J189" s="8"/>
      <c r="K189" s="12"/>
      <c r="L189" s="8"/>
      <c r="M189" s="8"/>
      <c r="N189" s="9" t="str">
        <f aca="false">IF(A189="","",IF(E189="","Sem horário de partida; ","")&amp;IF(AND(B189="Voo",I189=""),"Voo sem código; ",""))</f>
        <v/>
      </c>
    </row>
    <row r="190" customFormat="false" ht="15" hidden="false" customHeight="false" outlineLevel="0" collapsed="false">
      <c r="A190" s="7"/>
      <c r="B190" s="8"/>
      <c r="C190" s="8"/>
      <c r="D190" s="8"/>
      <c r="E190" s="10"/>
      <c r="F190" s="10"/>
      <c r="G190" s="8"/>
      <c r="H190" s="8"/>
      <c r="I190" s="8"/>
      <c r="J190" s="8"/>
      <c r="K190" s="12"/>
      <c r="L190" s="8"/>
      <c r="M190" s="8"/>
      <c r="N190" s="9" t="str">
        <f aca="false">IF(A190="","",IF(E190="","Sem horário de partida; ","")&amp;IF(AND(B190="Voo",I190=""),"Voo sem código; ",""))</f>
        <v/>
      </c>
    </row>
    <row r="191" customFormat="false" ht="15" hidden="false" customHeight="false" outlineLevel="0" collapsed="false">
      <c r="A191" s="7"/>
      <c r="B191" s="8"/>
      <c r="C191" s="8"/>
      <c r="D191" s="8"/>
      <c r="E191" s="10"/>
      <c r="F191" s="10"/>
      <c r="G191" s="8"/>
      <c r="H191" s="8"/>
      <c r="I191" s="8"/>
      <c r="J191" s="8"/>
      <c r="K191" s="12"/>
      <c r="L191" s="8"/>
      <c r="M191" s="8"/>
      <c r="N191" s="9" t="str">
        <f aca="false">IF(A191="","",IF(E191="","Sem horário de partida; ","")&amp;IF(AND(B191="Voo",I191=""),"Voo sem código; ",""))</f>
        <v/>
      </c>
    </row>
    <row r="192" customFormat="false" ht="15" hidden="false" customHeight="false" outlineLevel="0" collapsed="false">
      <c r="A192" s="7"/>
      <c r="B192" s="8"/>
      <c r="C192" s="8"/>
      <c r="D192" s="8"/>
      <c r="E192" s="10"/>
      <c r="F192" s="10"/>
      <c r="G192" s="8"/>
      <c r="H192" s="8"/>
      <c r="I192" s="8"/>
      <c r="J192" s="8"/>
      <c r="K192" s="12"/>
      <c r="L192" s="8"/>
      <c r="M192" s="8"/>
      <c r="N192" s="9" t="str">
        <f aca="false">IF(A192="","",IF(E192="","Sem horário de partida; ","")&amp;IF(AND(B192="Voo",I192=""),"Voo sem código; ",""))</f>
        <v/>
      </c>
    </row>
    <row r="193" customFormat="false" ht="15" hidden="false" customHeight="false" outlineLevel="0" collapsed="false">
      <c r="A193" s="7"/>
      <c r="B193" s="8"/>
      <c r="C193" s="8"/>
      <c r="D193" s="8"/>
      <c r="E193" s="10"/>
      <c r="F193" s="10"/>
      <c r="G193" s="8"/>
      <c r="H193" s="8"/>
      <c r="I193" s="8"/>
      <c r="J193" s="8"/>
      <c r="K193" s="12"/>
      <c r="L193" s="8"/>
      <c r="M193" s="8"/>
      <c r="N193" s="9" t="str">
        <f aca="false">IF(A193="","",IF(E193="","Sem horário de partida; ","")&amp;IF(AND(B193="Voo",I193=""),"Voo sem código; ",""))</f>
        <v/>
      </c>
    </row>
    <row r="194" customFormat="false" ht="15" hidden="false" customHeight="false" outlineLevel="0" collapsed="false">
      <c r="A194" s="7"/>
      <c r="B194" s="8"/>
      <c r="C194" s="8"/>
      <c r="D194" s="8"/>
      <c r="E194" s="10"/>
      <c r="F194" s="10"/>
      <c r="G194" s="8"/>
      <c r="H194" s="8"/>
      <c r="I194" s="8"/>
      <c r="J194" s="8"/>
      <c r="K194" s="12"/>
      <c r="L194" s="8"/>
      <c r="M194" s="8"/>
      <c r="N194" s="9" t="str">
        <f aca="false">IF(A194="","",IF(E194="","Sem horário de partida; ","")&amp;IF(AND(B194="Voo",I194=""),"Voo sem código; ",""))</f>
        <v/>
      </c>
    </row>
    <row r="195" customFormat="false" ht="15" hidden="false" customHeight="false" outlineLevel="0" collapsed="false">
      <c r="A195" s="7"/>
      <c r="B195" s="8"/>
      <c r="C195" s="8"/>
      <c r="D195" s="8"/>
      <c r="E195" s="10"/>
      <c r="F195" s="10"/>
      <c r="G195" s="8"/>
      <c r="H195" s="8"/>
      <c r="I195" s="8"/>
      <c r="J195" s="8"/>
      <c r="K195" s="12"/>
      <c r="L195" s="8"/>
      <c r="M195" s="8"/>
      <c r="N195" s="9" t="str">
        <f aca="false">IF(A195="","",IF(E195="","Sem horário de partida; ","")&amp;IF(AND(B195="Voo",I195=""),"Voo sem código; ",""))</f>
        <v/>
      </c>
    </row>
    <row r="196" customFormat="false" ht="15" hidden="false" customHeight="false" outlineLevel="0" collapsed="false">
      <c r="A196" s="7"/>
      <c r="B196" s="8"/>
      <c r="C196" s="8"/>
      <c r="D196" s="8"/>
      <c r="E196" s="10"/>
      <c r="F196" s="10"/>
      <c r="G196" s="8"/>
      <c r="H196" s="8"/>
      <c r="I196" s="8"/>
      <c r="J196" s="8"/>
      <c r="K196" s="12"/>
      <c r="L196" s="8"/>
      <c r="M196" s="8"/>
      <c r="N196" s="9" t="str">
        <f aca="false">IF(A196="","",IF(E196="","Sem horário de partida; ","")&amp;IF(AND(B196="Voo",I196=""),"Voo sem código; ",""))</f>
        <v/>
      </c>
    </row>
    <row r="197" customFormat="false" ht="15" hidden="false" customHeight="false" outlineLevel="0" collapsed="false">
      <c r="A197" s="7"/>
      <c r="B197" s="8"/>
      <c r="C197" s="8"/>
      <c r="D197" s="8"/>
      <c r="E197" s="10"/>
      <c r="F197" s="10"/>
      <c r="G197" s="8"/>
      <c r="H197" s="8"/>
      <c r="I197" s="8"/>
      <c r="J197" s="8"/>
      <c r="K197" s="12"/>
      <c r="L197" s="8"/>
      <c r="M197" s="8"/>
      <c r="N197" s="9" t="str">
        <f aca="false">IF(A197="","",IF(E197="","Sem horário de partida; ","")&amp;IF(AND(B197="Voo",I197=""),"Voo sem código; ",""))</f>
        <v/>
      </c>
    </row>
    <row r="198" customFormat="false" ht="15" hidden="false" customHeight="false" outlineLevel="0" collapsed="false">
      <c r="A198" s="7"/>
      <c r="B198" s="8"/>
      <c r="C198" s="8"/>
      <c r="D198" s="8"/>
      <c r="E198" s="10"/>
      <c r="F198" s="10"/>
      <c r="G198" s="8"/>
      <c r="H198" s="8"/>
      <c r="I198" s="8"/>
      <c r="J198" s="8"/>
      <c r="K198" s="12"/>
      <c r="L198" s="8"/>
      <c r="M198" s="8"/>
      <c r="N198" s="9" t="str">
        <f aca="false">IF(A198="","",IF(E198="","Sem horário de partida; ","")&amp;IF(AND(B198="Voo",I198=""),"Voo sem código; ",""))</f>
        <v/>
      </c>
    </row>
    <row r="199" customFormat="false" ht="15" hidden="false" customHeight="false" outlineLevel="0" collapsed="false">
      <c r="A199" s="7"/>
      <c r="B199" s="8"/>
      <c r="C199" s="8"/>
      <c r="D199" s="8"/>
      <c r="E199" s="10"/>
      <c r="F199" s="10"/>
      <c r="G199" s="8"/>
      <c r="H199" s="8"/>
      <c r="I199" s="8"/>
      <c r="J199" s="8"/>
      <c r="K199" s="12"/>
      <c r="L199" s="8"/>
      <c r="M199" s="8"/>
      <c r="N199" s="9" t="str">
        <f aca="false">IF(A199="","",IF(E199="","Sem horário de partida; ","")&amp;IF(AND(B199="Voo",I199=""),"Voo sem código; ",""))</f>
        <v/>
      </c>
    </row>
    <row r="200" customFormat="false" ht="15" hidden="false" customHeight="false" outlineLevel="0" collapsed="false">
      <c r="A200" s="7"/>
      <c r="B200" s="8"/>
      <c r="C200" s="8"/>
      <c r="D200" s="8"/>
      <c r="E200" s="10"/>
      <c r="F200" s="10"/>
      <c r="G200" s="8"/>
      <c r="H200" s="8"/>
      <c r="I200" s="8"/>
      <c r="J200" s="8"/>
      <c r="K200" s="12"/>
      <c r="L200" s="8"/>
      <c r="M200" s="8"/>
      <c r="N200" s="9" t="str">
        <f aca="false">IF(A200="","",IF(E200="","Sem horário de partida; ","")&amp;IF(AND(B200="Voo",I200=""),"Voo sem código; ",""))</f>
        <v/>
      </c>
    </row>
    <row r="201" customFormat="false" ht="15" hidden="false" customHeight="false" outlineLevel="0" collapsed="false">
      <c r="A201" s="7"/>
      <c r="B201" s="8"/>
      <c r="C201" s="8"/>
      <c r="D201" s="8"/>
      <c r="E201" s="10"/>
      <c r="F201" s="10"/>
      <c r="G201" s="8"/>
      <c r="H201" s="8"/>
      <c r="I201" s="8"/>
      <c r="J201" s="8"/>
      <c r="K201" s="12"/>
      <c r="L201" s="8"/>
      <c r="M201" s="8"/>
      <c r="N201" s="9" t="str">
        <f aca="false">IF(A201="","",IF(E201="","Sem horário de partida; ","")&amp;IF(AND(B201="Voo",I201=""),"Voo sem código; ",""))</f>
        <v/>
      </c>
    </row>
    <row r="202" customFormat="false" ht="15" hidden="false" customHeight="false" outlineLevel="0" collapsed="false">
      <c r="A202" s="7"/>
      <c r="B202" s="8"/>
      <c r="C202" s="8"/>
      <c r="D202" s="8"/>
      <c r="E202" s="10"/>
      <c r="F202" s="10"/>
      <c r="G202" s="8"/>
      <c r="H202" s="8"/>
      <c r="I202" s="8"/>
      <c r="J202" s="8"/>
      <c r="K202" s="12"/>
      <c r="L202" s="8"/>
      <c r="M202" s="8"/>
      <c r="N202" s="9" t="str">
        <f aca="false">IF(A202="","",IF(E202="","Sem horário de partida; ","")&amp;IF(AND(B202="Voo",I202=""),"Voo sem código; ",""))</f>
        <v/>
      </c>
    </row>
    <row r="203" customFormat="false" ht="15" hidden="false" customHeight="false" outlineLevel="0" collapsed="false">
      <c r="A203" s="7"/>
      <c r="B203" s="8"/>
      <c r="C203" s="8"/>
      <c r="D203" s="8"/>
      <c r="E203" s="10"/>
      <c r="F203" s="10"/>
      <c r="G203" s="8"/>
      <c r="H203" s="8"/>
      <c r="I203" s="8"/>
      <c r="J203" s="8"/>
      <c r="K203" s="12"/>
      <c r="L203" s="8"/>
      <c r="M203" s="8"/>
      <c r="N203" s="9" t="str">
        <f aca="false">IF(A203="","",IF(E203="","Sem horário de partida; ","")&amp;IF(AND(B203="Voo",I203=""),"Voo sem código; ",""))</f>
        <v/>
      </c>
    </row>
    <row r="204" customFormat="false" ht="15" hidden="false" customHeight="false" outlineLevel="0" collapsed="false">
      <c r="A204" s="7"/>
      <c r="B204" s="8"/>
      <c r="C204" s="8"/>
      <c r="D204" s="8"/>
      <c r="E204" s="10"/>
      <c r="F204" s="10"/>
      <c r="G204" s="8"/>
      <c r="H204" s="8"/>
      <c r="I204" s="8"/>
      <c r="J204" s="8"/>
      <c r="K204" s="12"/>
      <c r="L204" s="8"/>
      <c r="M204" s="8"/>
      <c r="N204" s="9" t="str">
        <f aca="false">IF(A204="","",IF(E204="","Sem horário de partida; ","")&amp;IF(AND(B204="Voo",I204=""),"Voo sem código; ",""))</f>
        <v/>
      </c>
    </row>
    <row r="205" customFormat="false" ht="15" hidden="false" customHeight="false" outlineLevel="0" collapsed="false">
      <c r="A205" s="7"/>
      <c r="B205" s="8"/>
      <c r="C205" s="8"/>
      <c r="D205" s="8"/>
      <c r="E205" s="10"/>
      <c r="F205" s="10"/>
      <c r="G205" s="8"/>
      <c r="H205" s="8"/>
      <c r="I205" s="8"/>
      <c r="J205" s="8"/>
      <c r="K205" s="12"/>
      <c r="L205" s="8"/>
      <c r="M205" s="8"/>
      <c r="N205" s="9" t="str">
        <f aca="false">IF(A205="","",IF(E205="","Sem horário de partida; ","")&amp;IF(AND(B205="Voo",I205=""),"Voo sem código; ",""))</f>
        <v/>
      </c>
    </row>
    <row r="206" customFormat="false" ht="15" hidden="false" customHeight="false" outlineLevel="0" collapsed="false">
      <c r="A206" s="7"/>
      <c r="B206" s="8"/>
      <c r="C206" s="8"/>
      <c r="D206" s="8"/>
      <c r="E206" s="10"/>
      <c r="F206" s="10"/>
      <c r="G206" s="8"/>
      <c r="H206" s="8"/>
      <c r="I206" s="8"/>
      <c r="J206" s="8"/>
      <c r="K206" s="12"/>
      <c r="L206" s="8"/>
      <c r="M206" s="8"/>
      <c r="N206" s="9" t="str">
        <f aca="false">IF(A206="","",IF(E206="","Sem horário de partida; ","")&amp;IF(AND(B206="Voo",I206=""),"Voo sem código; ",""))</f>
        <v/>
      </c>
    </row>
    <row r="207" customFormat="false" ht="15" hidden="false" customHeight="false" outlineLevel="0" collapsed="false">
      <c r="A207" s="7"/>
      <c r="B207" s="8"/>
      <c r="C207" s="8"/>
      <c r="D207" s="8"/>
      <c r="E207" s="10"/>
      <c r="F207" s="10"/>
      <c r="G207" s="8"/>
      <c r="H207" s="8"/>
      <c r="I207" s="8"/>
      <c r="J207" s="8"/>
      <c r="K207" s="12"/>
      <c r="L207" s="8"/>
      <c r="M207" s="8"/>
      <c r="N207" s="9" t="str">
        <f aca="false">IF(A207="","",IF(E207="","Sem horário de partida; ","")&amp;IF(AND(B207="Voo",I207=""),"Voo sem código; ",""))</f>
        <v/>
      </c>
    </row>
    <row r="208" customFormat="false" ht="15" hidden="false" customHeight="false" outlineLevel="0" collapsed="false">
      <c r="A208" s="7"/>
      <c r="B208" s="8"/>
      <c r="C208" s="8"/>
      <c r="D208" s="8"/>
      <c r="E208" s="10"/>
      <c r="F208" s="10"/>
      <c r="G208" s="8"/>
      <c r="H208" s="8"/>
      <c r="I208" s="8"/>
      <c r="J208" s="8"/>
      <c r="K208" s="12"/>
      <c r="L208" s="8"/>
      <c r="M208" s="8"/>
      <c r="N208" s="9" t="str">
        <f aca="false">IF(A208="","",IF(E208="","Sem horário de partida; ","")&amp;IF(AND(B208="Voo",I208=""),"Voo sem código; ",""))</f>
        <v/>
      </c>
    </row>
    <row r="209" customFormat="false" ht="15" hidden="false" customHeight="false" outlineLevel="0" collapsed="false">
      <c r="A209" s="7"/>
      <c r="B209" s="8"/>
      <c r="C209" s="8"/>
      <c r="D209" s="8"/>
      <c r="E209" s="10"/>
      <c r="F209" s="10"/>
      <c r="G209" s="8"/>
      <c r="H209" s="8"/>
      <c r="I209" s="8"/>
      <c r="J209" s="8"/>
      <c r="K209" s="12"/>
      <c r="L209" s="8"/>
      <c r="M209" s="8"/>
      <c r="N209" s="9" t="str">
        <f aca="false">IF(A209="","",IF(E209="","Sem horário de partida; ","")&amp;IF(AND(B209="Voo",I209=""),"Voo sem código; ",""))</f>
        <v/>
      </c>
    </row>
    <row r="210" customFormat="false" ht="15" hidden="false" customHeight="false" outlineLevel="0" collapsed="false">
      <c r="A210" s="7"/>
      <c r="B210" s="8"/>
      <c r="C210" s="8"/>
      <c r="D210" s="8"/>
      <c r="E210" s="10"/>
      <c r="F210" s="10"/>
      <c r="G210" s="8"/>
      <c r="H210" s="8"/>
      <c r="I210" s="8"/>
      <c r="J210" s="8"/>
      <c r="K210" s="12"/>
      <c r="L210" s="8"/>
      <c r="M210" s="8"/>
      <c r="N210" s="9" t="str">
        <f aca="false">IF(A210="","",IF(E210="","Sem horário de partida; ","")&amp;IF(AND(B210="Voo",I210=""),"Voo sem código; ",""))</f>
        <v/>
      </c>
    </row>
    <row r="211" customFormat="false" ht="15" hidden="false" customHeight="false" outlineLevel="0" collapsed="false">
      <c r="A211" s="7"/>
      <c r="B211" s="8"/>
      <c r="C211" s="8"/>
      <c r="D211" s="8"/>
      <c r="E211" s="10"/>
      <c r="F211" s="10"/>
      <c r="G211" s="8"/>
      <c r="H211" s="8"/>
      <c r="I211" s="8"/>
      <c r="J211" s="8"/>
      <c r="K211" s="12"/>
      <c r="L211" s="8"/>
      <c r="M211" s="8"/>
      <c r="N211" s="9" t="str">
        <f aca="false">IF(A211="","",IF(E211="","Sem horário de partida; ","")&amp;IF(AND(B211="Voo",I211=""),"Voo sem código; ",""))</f>
        <v/>
      </c>
    </row>
    <row r="212" customFormat="false" ht="15" hidden="false" customHeight="false" outlineLevel="0" collapsed="false">
      <c r="A212" s="7"/>
      <c r="B212" s="8"/>
      <c r="C212" s="8"/>
      <c r="D212" s="8"/>
      <c r="E212" s="10"/>
      <c r="F212" s="10"/>
      <c r="G212" s="8"/>
      <c r="H212" s="8"/>
      <c r="I212" s="8"/>
      <c r="J212" s="8"/>
      <c r="K212" s="12"/>
      <c r="L212" s="8"/>
      <c r="M212" s="8"/>
      <c r="N212" s="9" t="str">
        <f aca="false">IF(A212="","",IF(E212="","Sem horário de partida; ","")&amp;IF(AND(B212="Voo",I212=""),"Voo sem código; ",""))</f>
        <v/>
      </c>
    </row>
    <row r="213" customFormat="false" ht="15" hidden="false" customHeight="false" outlineLevel="0" collapsed="false">
      <c r="A213" s="7"/>
      <c r="B213" s="8"/>
      <c r="C213" s="8"/>
      <c r="D213" s="8"/>
      <c r="E213" s="10"/>
      <c r="F213" s="10"/>
      <c r="G213" s="8"/>
      <c r="H213" s="8"/>
      <c r="I213" s="8"/>
      <c r="J213" s="8"/>
      <c r="K213" s="12"/>
      <c r="L213" s="8"/>
      <c r="M213" s="8"/>
      <c r="N213" s="9" t="str">
        <f aca="false">IF(A213="","",IF(E213="","Sem horário de partida; ","")&amp;IF(AND(B213="Voo",I213=""),"Voo sem código; ",""))</f>
        <v/>
      </c>
    </row>
    <row r="214" customFormat="false" ht="15" hidden="false" customHeight="false" outlineLevel="0" collapsed="false">
      <c r="A214" s="7"/>
      <c r="B214" s="8"/>
      <c r="C214" s="8"/>
      <c r="D214" s="8"/>
      <c r="E214" s="10"/>
      <c r="F214" s="10"/>
      <c r="G214" s="8"/>
      <c r="H214" s="8"/>
      <c r="I214" s="8"/>
      <c r="J214" s="8"/>
      <c r="K214" s="12"/>
      <c r="L214" s="8"/>
      <c r="M214" s="8"/>
      <c r="N214" s="9" t="str">
        <f aca="false">IF(A214="","",IF(E214="","Sem horário de partida; ","")&amp;IF(AND(B214="Voo",I214=""),"Voo sem código; ",""))</f>
        <v/>
      </c>
    </row>
    <row r="215" customFormat="false" ht="15" hidden="false" customHeight="false" outlineLevel="0" collapsed="false">
      <c r="A215" s="7"/>
      <c r="B215" s="8"/>
      <c r="C215" s="8"/>
      <c r="D215" s="8"/>
      <c r="E215" s="10"/>
      <c r="F215" s="10"/>
      <c r="G215" s="8"/>
      <c r="H215" s="8"/>
      <c r="I215" s="8"/>
      <c r="J215" s="8"/>
      <c r="K215" s="12"/>
      <c r="L215" s="8"/>
      <c r="M215" s="8"/>
      <c r="N215" s="9" t="str">
        <f aca="false">IF(A215="","",IF(E215="","Sem horário de partida; ","")&amp;IF(AND(B215="Voo",I215=""),"Voo sem código; ",""))</f>
        <v/>
      </c>
    </row>
    <row r="216" customFormat="false" ht="15" hidden="false" customHeight="false" outlineLevel="0" collapsed="false">
      <c r="A216" s="7"/>
      <c r="B216" s="8"/>
      <c r="C216" s="8"/>
      <c r="D216" s="8"/>
      <c r="E216" s="10"/>
      <c r="F216" s="10"/>
      <c r="G216" s="8"/>
      <c r="H216" s="8"/>
      <c r="I216" s="8"/>
      <c r="J216" s="8"/>
      <c r="K216" s="12"/>
      <c r="L216" s="8"/>
      <c r="M216" s="8"/>
      <c r="N216" s="9" t="str">
        <f aca="false">IF(A216="","",IF(E216="","Sem horário de partida; ","")&amp;IF(AND(B216="Voo",I216=""),"Voo sem código; ",""))</f>
        <v/>
      </c>
    </row>
    <row r="217" customFormat="false" ht="15" hidden="false" customHeight="false" outlineLevel="0" collapsed="false">
      <c r="A217" s="7"/>
      <c r="B217" s="8"/>
      <c r="C217" s="8"/>
      <c r="D217" s="8"/>
      <c r="E217" s="10"/>
      <c r="F217" s="10"/>
      <c r="G217" s="8"/>
      <c r="H217" s="8"/>
      <c r="I217" s="8"/>
      <c r="J217" s="8"/>
      <c r="K217" s="12"/>
      <c r="L217" s="8"/>
      <c r="M217" s="8"/>
      <c r="N217" s="9" t="str">
        <f aca="false">IF(A217="","",IF(E217="","Sem horário de partida; ","")&amp;IF(AND(B217="Voo",I217=""),"Voo sem código; ",""))</f>
        <v/>
      </c>
    </row>
    <row r="218" customFormat="false" ht="15" hidden="false" customHeight="false" outlineLevel="0" collapsed="false">
      <c r="A218" s="7"/>
      <c r="B218" s="8"/>
      <c r="C218" s="8"/>
      <c r="D218" s="8"/>
      <c r="E218" s="10"/>
      <c r="F218" s="10"/>
      <c r="G218" s="8"/>
      <c r="H218" s="8"/>
      <c r="I218" s="8"/>
      <c r="J218" s="8"/>
      <c r="K218" s="12"/>
      <c r="L218" s="8"/>
      <c r="M218" s="8"/>
      <c r="N218" s="9" t="str">
        <f aca="false">IF(A218="","",IF(E218="","Sem horário de partida; ","")&amp;IF(AND(B218="Voo",I218=""),"Voo sem código; ",""))</f>
        <v/>
      </c>
    </row>
    <row r="219" customFormat="false" ht="15" hidden="false" customHeight="false" outlineLevel="0" collapsed="false">
      <c r="A219" s="7"/>
      <c r="B219" s="8"/>
      <c r="C219" s="8"/>
      <c r="D219" s="8"/>
      <c r="E219" s="10"/>
      <c r="F219" s="10"/>
      <c r="G219" s="8"/>
      <c r="H219" s="8"/>
      <c r="I219" s="8"/>
      <c r="J219" s="8"/>
      <c r="K219" s="12"/>
      <c r="L219" s="8"/>
      <c r="M219" s="8"/>
      <c r="N219" s="9" t="str">
        <f aca="false">IF(A219="","",IF(E219="","Sem horário de partida; ","")&amp;IF(AND(B219="Voo",I219=""),"Voo sem código; ",""))</f>
        <v/>
      </c>
    </row>
    <row r="220" customFormat="false" ht="15" hidden="false" customHeight="false" outlineLevel="0" collapsed="false">
      <c r="A220" s="7"/>
      <c r="B220" s="8"/>
      <c r="C220" s="8"/>
      <c r="D220" s="8"/>
      <c r="E220" s="10"/>
      <c r="F220" s="10"/>
      <c r="G220" s="8"/>
      <c r="H220" s="8"/>
      <c r="I220" s="8"/>
      <c r="J220" s="8"/>
      <c r="K220" s="12"/>
      <c r="L220" s="8"/>
      <c r="M220" s="8"/>
      <c r="N220" s="9" t="str">
        <f aca="false">IF(A220="","",IF(E220="","Sem horário de partida; ","")&amp;IF(AND(B220="Voo",I220=""),"Voo sem código; ",""))</f>
        <v/>
      </c>
    </row>
    <row r="221" customFormat="false" ht="15" hidden="false" customHeight="false" outlineLevel="0" collapsed="false">
      <c r="A221" s="7"/>
      <c r="B221" s="8"/>
      <c r="C221" s="8"/>
      <c r="D221" s="8"/>
      <c r="E221" s="10"/>
      <c r="F221" s="10"/>
      <c r="G221" s="8"/>
      <c r="H221" s="8"/>
      <c r="I221" s="8"/>
      <c r="J221" s="8"/>
      <c r="K221" s="12"/>
      <c r="L221" s="8"/>
      <c r="M221" s="8"/>
      <c r="N221" s="9" t="str">
        <f aca="false">IF(A221="","",IF(E221="","Sem horário de partida; ","")&amp;IF(AND(B221="Voo",I221=""),"Voo sem código; ",""))</f>
        <v/>
      </c>
    </row>
    <row r="222" customFormat="false" ht="15" hidden="false" customHeight="false" outlineLevel="0" collapsed="false">
      <c r="A222" s="7"/>
      <c r="B222" s="8"/>
      <c r="C222" s="8"/>
      <c r="D222" s="8"/>
      <c r="E222" s="10"/>
      <c r="F222" s="10"/>
      <c r="G222" s="8"/>
      <c r="H222" s="8"/>
      <c r="I222" s="8"/>
      <c r="J222" s="8"/>
      <c r="K222" s="12"/>
      <c r="L222" s="8"/>
      <c r="M222" s="8"/>
      <c r="N222" s="9" t="str">
        <f aca="false">IF(A222="","",IF(E222="","Sem horário de partida; ","")&amp;IF(AND(B222="Voo",I222=""),"Voo sem código; ",""))</f>
        <v/>
      </c>
    </row>
    <row r="223" customFormat="false" ht="15" hidden="false" customHeight="false" outlineLevel="0" collapsed="false">
      <c r="A223" s="7"/>
      <c r="B223" s="8"/>
      <c r="C223" s="8"/>
      <c r="D223" s="8"/>
      <c r="E223" s="10"/>
      <c r="F223" s="10"/>
      <c r="G223" s="8"/>
      <c r="H223" s="8"/>
      <c r="I223" s="8"/>
      <c r="J223" s="8"/>
      <c r="K223" s="12"/>
      <c r="L223" s="8"/>
      <c r="M223" s="8"/>
      <c r="N223" s="9" t="str">
        <f aca="false">IF(A223="","",IF(E223="","Sem horário de partida; ","")&amp;IF(AND(B223="Voo",I223=""),"Voo sem código; ",""))</f>
        <v/>
      </c>
    </row>
    <row r="224" customFormat="false" ht="15" hidden="false" customHeight="false" outlineLevel="0" collapsed="false">
      <c r="A224" s="7"/>
      <c r="B224" s="8"/>
      <c r="C224" s="8"/>
      <c r="D224" s="8"/>
      <c r="E224" s="10"/>
      <c r="F224" s="10"/>
      <c r="G224" s="8"/>
      <c r="H224" s="8"/>
      <c r="I224" s="8"/>
      <c r="J224" s="8"/>
      <c r="K224" s="12"/>
      <c r="L224" s="8"/>
      <c r="M224" s="8"/>
      <c r="N224" s="9" t="str">
        <f aca="false">IF(A224="","",IF(E224="","Sem horário de partida; ","")&amp;IF(AND(B224="Voo",I224=""),"Voo sem código; ",""))</f>
        <v/>
      </c>
    </row>
    <row r="225" customFormat="false" ht="15" hidden="false" customHeight="false" outlineLevel="0" collapsed="false">
      <c r="A225" s="7"/>
      <c r="B225" s="8"/>
      <c r="C225" s="8"/>
      <c r="D225" s="8"/>
      <c r="E225" s="10"/>
      <c r="F225" s="10"/>
      <c r="G225" s="8"/>
      <c r="H225" s="8"/>
      <c r="I225" s="8"/>
      <c r="J225" s="8"/>
      <c r="K225" s="12"/>
      <c r="L225" s="8"/>
      <c r="M225" s="8"/>
      <c r="N225" s="9" t="str">
        <f aca="false">IF(A225="","",IF(E225="","Sem horário de partida; ","")&amp;IF(AND(B225="Voo",I225=""),"Voo sem código; ",""))</f>
        <v/>
      </c>
    </row>
    <row r="226" customFormat="false" ht="15" hidden="false" customHeight="false" outlineLevel="0" collapsed="false">
      <c r="A226" s="7"/>
      <c r="B226" s="8"/>
      <c r="C226" s="8"/>
      <c r="D226" s="8"/>
      <c r="E226" s="10"/>
      <c r="F226" s="10"/>
      <c r="G226" s="8"/>
      <c r="H226" s="8"/>
      <c r="I226" s="8"/>
      <c r="J226" s="8"/>
      <c r="K226" s="12"/>
      <c r="L226" s="8"/>
      <c r="M226" s="8"/>
      <c r="N226" s="9" t="str">
        <f aca="false">IF(A226="","",IF(E226="","Sem horário de partida; ","")&amp;IF(AND(B226="Voo",I226=""),"Voo sem código; ",""))</f>
        <v/>
      </c>
    </row>
    <row r="227" customFormat="false" ht="15" hidden="false" customHeight="false" outlineLevel="0" collapsed="false">
      <c r="A227" s="7"/>
      <c r="B227" s="8"/>
      <c r="C227" s="8"/>
      <c r="D227" s="8"/>
      <c r="E227" s="10"/>
      <c r="F227" s="10"/>
      <c r="G227" s="8"/>
      <c r="H227" s="8"/>
      <c r="I227" s="8"/>
      <c r="J227" s="8"/>
      <c r="K227" s="12"/>
      <c r="L227" s="8"/>
      <c r="M227" s="8"/>
      <c r="N227" s="9" t="str">
        <f aca="false">IF(A227="","",IF(E227="","Sem horário de partida; ","")&amp;IF(AND(B227="Voo",I227=""),"Voo sem código; ",""))</f>
        <v/>
      </c>
    </row>
    <row r="228" customFormat="false" ht="15" hidden="false" customHeight="false" outlineLevel="0" collapsed="false">
      <c r="A228" s="7"/>
      <c r="B228" s="8"/>
      <c r="C228" s="8"/>
      <c r="D228" s="8"/>
      <c r="E228" s="10"/>
      <c r="F228" s="10"/>
      <c r="G228" s="8"/>
      <c r="H228" s="8"/>
      <c r="I228" s="8"/>
      <c r="J228" s="8"/>
      <c r="K228" s="12"/>
      <c r="L228" s="8"/>
      <c r="M228" s="8"/>
      <c r="N228" s="9" t="str">
        <f aca="false">IF(A228="","",IF(E228="","Sem horário de partida; ","")&amp;IF(AND(B228="Voo",I228=""),"Voo sem código; ",""))</f>
        <v/>
      </c>
    </row>
    <row r="229" customFormat="false" ht="15" hidden="false" customHeight="false" outlineLevel="0" collapsed="false">
      <c r="A229" s="7"/>
      <c r="B229" s="8"/>
      <c r="C229" s="8"/>
      <c r="D229" s="8"/>
      <c r="E229" s="10"/>
      <c r="F229" s="10"/>
      <c r="G229" s="8"/>
      <c r="H229" s="8"/>
      <c r="I229" s="8"/>
      <c r="J229" s="8"/>
      <c r="K229" s="12"/>
      <c r="L229" s="8"/>
      <c r="M229" s="8"/>
      <c r="N229" s="9" t="str">
        <f aca="false">IF(A229="","",IF(E229="","Sem horário de partida; ","")&amp;IF(AND(B229="Voo",I229=""),"Voo sem código; ",""))</f>
        <v/>
      </c>
    </row>
    <row r="230" customFormat="false" ht="15" hidden="false" customHeight="false" outlineLevel="0" collapsed="false">
      <c r="A230" s="7"/>
      <c r="B230" s="8"/>
      <c r="C230" s="8"/>
      <c r="D230" s="8"/>
      <c r="E230" s="10"/>
      <c r="F230" s="10"/>
      <c r="G230" s="8"/>
      <c r="H230" s="8"/>
      <c r="I230" s="8"/>
      <c r="J230" s="8"/>
      <c r="K230" s="12"/>
      <c r="L230" s="8"/>
      <c r="M230" s="8"/>
      <c r="N230" s="9" t="str">
        <f aca="false">IF(A230="","",IF(E230="","Sem horário de partida; ","")&amp;IF(AND(B230="Voo",I230=""),"Voo sem código; ",""))</f>
        <v/>
      </c>
    </row>
    <row r="231" customFormat="false" ht="15" hidden="false" customHeight="false" outlineLevel="0" collapsed="false">
      <c r="A231" s="7"/>
      <c r="B231" s="8"/>
      <c r="C231" s="8"/>
      <c r="D231" s="8"/>
      <c r="E231" s="10"/>
      <c r="F231" s="10"/>
      <c r="G231" s="8"/>
      <c r="H231" s="8"/>
      <c r="I231" s="8"/>
      <c r="J231" s="8"/>
      <c r="K231" s="12"/>
      <c r="L231" s="8"/>
      <c r="M231" s="8"/>
      <c r="N231" s="9" t="str">
        <f aca="false">IF(A231="","",IF(E231="","Sem horário de partida; ","")&amp;IF(AND(B231="Voo",I231=""),"Voo sem código; ",""))</f>
        <v/>
      </c>
    </row>
    <row r="232" customFormat="false" ht="15" hidden="false" customHeight="false" outlineLevel="0" collapsed="false">
      <c r="A232" s="7"/>
      <c r="B232" s="8"/>
      <c r="C232" s="8"/>
      <c r="D232" s="8"/>
      <c r="E232" s="10"/>
      <c r="F232" s="10"/>
      <c r="G232" s="8"/>
      <c r="H232" s="8"/>
      <c r="I232" s="8"/>
      <c r="J232" s="8"/>
      <c r="K232" s="12"/>
      <c r="L232" s="8"/>
      <c r="M232" s="8"/>
      <c r="N232" s="9" t="str">
        <f aca="false">IF(A232="","",IF(E232="","Sem horário de partida; ","")&amp;IF(AND(B232="Voo",I232=""),"Voo sem código; ",""))</f>
        <v/>
      </c>
    </row>
    <row r="233" customFormat="false" ht="15" hidden="false" customHeight="false" outlineLevel="0" collapsed="false">
      <c r="A233" s="7"/>
      <c r="B233" s="8"/>
      <c r="C233" s="8"/>
      <c r="D233" s="8"/>
      <c r="E233" s="10"/>
      <c r="F233" s="10"/>
      <c r="G233" s="8"/>
      <c r="H233" s="8"/>
      <c r="I233" s="8"/>
      <c r="J233" s="8"/>
      <c r="K233" s="12"/>
      <c r="L233" s="8"/>
      <c r="M233" s="8"/>
      <c r="N233" s="9" t="str">
        <f aca="false">IF(A233="","",IF(E233="","Sem horário de partida; ","")&amp;IF(AND(B233="Voo",I233=""),"Voo sem código; ",""))</f>
        <v/>
      </c>
    </row>
    <row r="234" customFormat="false" ht="15" hidden="false" customHeight="false" outlineLevel="0" collapsed="false">
      <c r="A234" s="7"/>
      <c r="B234" s="8"/>
      <c r="C234" s="8"/>
      <c r="D234" s="8"/>
      <c r="E234" s="10"/>
      <c r="F234" s="10"/>
      <c r="G234" s="8"/>
      <c r="H234" s="8"/>
      <c r="I234" s="8"/>
      <c r="J234" s="8"/>
      <c r="K234" s="12"/>
      <c r="L234" s="8"/>
      <c r="M234" s="8"/>
      <c r="N234" s="9" t="str">
        <f aca="false">IF(A234="","",IF(E234="","Sem horário de partida; ","")&amp;IF(AND(B234="Voo",I234=""),"Voo sem código; ",""))</f>
        <v/>
      </c>
    </row>
    <row r="235" customFormat="false" ht="15" hidden="false" customHeight="false" outlineLevel="0" collapsed="false">
      <c r="A235" s="7"/>
      <c r="B235" s="8"/>
      <c r="C235" s="8"/>
      <c r="D235" s="8"/>
      <c r="E235" s="10"/>
      <c r="F235" s="10"/>
      <c r="G235" s="8"/>
      <c r="H235" s="8"/>
      <c r="I235" s="8"/>
      <c r="J235" s="8"/>
      <c r="K235" s="12"/>
      <c r="L235" s="8"/>
      <c r="M235" s="8"/>
      <c r="N235" s="9" t="str">
        <f aca="false">IF(A235="","",IF(E235="","Sem horário de partida; ","")&amp;IF(AND(B235="Voo",I235=""),"Voo sem código; ",""))</f>
        <v/>
      </c>
    </row>
    <row r="236" customFormat="false" ht="15" hidden="false" customHeight="false" outlineLevel="0" collapsed="false">
      <c r="A236" s="7"/>
      <c r="B236" s="8"/>
      <c r="C236" s="8"/>
      <c r="D236" s="8"/>
      <c r="E236" s="10"/>
      <c r="F236" s="10"/>
      <c r="G236" s="8"/>
      <c r="H236" s="8"/>
      <c r="I236" s="8"/>
      <c r="J236" s="8"/>
      <c r="K236" s="12"/>
      <c r="L236" s="8"/>
      <c r="M236" s="8"/>
      <c r="N236" s="9" t="str">
        <f aca="false">IF(A236="","",IF(E236="","Sem horário de partida; ","")&amp;IF(AND(B236="Voo",I236=""),"Voo sem código; ",""))</f>
        <v/>
      </c>
    </row>
    <row r="237" customFormat="false" ht="15" hidden="false" customHeight="false" outlineLevel="0" collapsed="false">
      <c r="A237" s="7"/>
      <c r="B237" s="8"/>
      <c r="C237" s="8"/>
      <c r="D237" s="8"/>
      <c r="E237" s="10"/>
      <c r="F237" s="10"/>
      <c r="G237" s="8"/>
      <c r="H237" s="8"/>
      <c r="I237" s="8"/>
      <c r="J237" s="8"/>
      <c r="K237" s="12"/>
      <c r="L237" s="8"/>
      <c r="M237" s="8"/>
      <c r="N237" s="9" t="str">
        <f aca="false">IF(A237="","",IF(E237="","Sem horário de partida; ","")&amp;IF(AND(B237="Voo",I237=""),"Voo sem código; ",""))</f>
        <v/>
      </c>
    </row>
    <row r="238" customFormat="false" ht="15" hidden="false" customHeight="false" outlineLevel="0" collapsed="false">
      <c r="A238" s="7"/>
      <c r="B238" s="8"/>
      <c r="C238" s="8"/>
      <c r="D238" s="8"/>
      <c r="E238" s="10"/>
      <c r="F238" s="10"/>
      <c r="G238" s="8"/>
      <c r="H238" s="8"/>
      <c r="I238" s="8"/>
      <c r="J238" s="8"/>
      <c r="K238" s="12"/>
      <c r="L238" s="8"/>
      <c r="M238" s="8"/>
      <c r="N238" s="9" t="str">
        <f aca="false">IF(A238="","",IF(E238="","Sem horário de partida; ","")&amp;IF(AND(B238="Voo",I238=""),"Voo sem código; ",""))</f>
        <v/>
      </c>
    </row>
    <row r="239" customFormat="false" ht="15" hidden="false" customHeight="false" outlineLevel="0" collapsed="false">
      <c r="A239" s="7"/>
      <c r="B239" s="8"/>
      <c r="C239" s="8"/>
      <c r="D239" s="8"/>
      <c r="E239" s="10"/>
      <c r="F239" s="10"/>
      <c r="G239" s="8"/>
      <c r="H239" s="8"/>
      <c r="I239" s="8"/>
      <c r="J239" s="8"/>
      <c r="K239" s="12"/>
      <c r="L239" s="8"/>
      <c r="M239" s="8"/>
      <c r="N239" s="9" t="str">
        <f aca="false">IF(A239="","",IF(E239="","Sem horário de partida; ","")&amp;IF(AND(B239="Voo",I239=""),"Voo sem código; ",""))</f>
        <v/>
      </c>
    </row>
    <row r="240" customFormat="false" ht="15" hidden="false" customHeight="false" outlineLevel="0" collapsed="false">
      <c r="A240" s="7"/>
      <c r="B240" s="8"/>
      <c r="C240" s="8"/>
      <c r="D240" s="8"/>
      <c r="E240" s="10"/>
      <c r="F240" s="10"/>
      <c r="G240" s="8"/>
      <c r="H240" s="8"/>
      <c r="I240" s="8"/>
      <c r="J240" s="8"/>
      <c r="K240" s="12"/>
      <c r="L240" s="8"/>
      <c r="M240" s="8"/>
      <c r="N240" s="9" t="str">
        <f aca="false">IF(A240="","",IF(E240="","Sem horário de partida; ","")&amp;IF(AND(B240="Voo",I240=""),"Voo sem código; ",""))</f>
        <v/>
      </c>
    </row>
    <row r="241" customFormat="false" ht="15" hidden="false" customHeight="false" outlineLevel="0" collapsed="false">
      <c r="A241" s="7"/>
      <c r="B241" s="8"/>
      <c r="C241" s="8"/>
      <c r="D241" s="8"/>
      <c r="E241" s="10"/>
      <c r="F241" s="10"/>
      <c r="G241" s="8"/>
      <c r="H241" s="8"/>
      <c r="I241" s="8"/>
      <c r="J241" s="8"/>
      <c r="K241" s="12"/>
      <c r="L241" s="8"/>
      <c r="M241" s="8"/>
      <c r="N241" s="9" t="str">
        <f aca="false">IF(A241="","",IF(E241="","Sem horário de partida; ","")&amp;IF(AND(B241="Voo",I241=""),"Voo sem código; ",""))</f>
        <v/>
      </c>
    </row>
    <row r="242" customFormat="false" ht="15" hidden="false" customHeight="false" outlineLevel="0" collapsed="false">
      <c r="A242" s="7"/>
      <c r="B242" s="8"/>
      <c r="C242" s="8"/>
      <c r="D242" s="8"/>
      <c r="E242" s="10"/>
      <c r="F242" s="10"/>
      <c r="G242" s="8"/>
      <c r="H242" s="8"/>
      <c r="I242" s="8"/>
      <c r="J242" s="8"/>
      <c r="K242" s="12"/>
      <c r="L242" s="8"/>
      <c r="M242" s="8"/>
      <c r="N242" s="9" t="str">
        <f aca="false">IF(A242="","",IF(E242="","Sem horário de partida; ","")&amp;IF(AND(B242="Voo",I242=""),"Voo sem código; ",""))</f>
        <v/>
      </c>
    </row>
    <row r="243" customFormat="false" ht="15" hidden="false" customHeight="false" outlineLevel="0" collapsed="false">
      <c r="A243" s="7"/>
      <c r="B243" s="8"/>
      <c r="C243" s="8"/>
      <c r="D243" s="8"/>
      <c r="E243" s="10"/>
      <c r="F243" s="10"/>
      <c r="G243" s="8"/>
      <c r="H243" s="8"/>
      <c r="I243" s="8"/>
      <c r="J243" s="8"/>
      <c r="K243" s="12"/>
      <c r="L243" s="8"/>
      <c r="M243" s="8"/>
      <c r="N243" s="9" t="str">
        <f aca="false">IF(A243="","",IF(E243="","Sem horário de partida; ","")&amp;IF(AND(B243="Voo",I243=""),"Voo sem código; ",""))</f>
        <v/>
      </c>
    </row>
    <row r="244" customFormat="false" ht="15" hidden="false" customHeight="false" outlineLevel="0" collapsed="false">
      <c r="A244" s="7"/>
      <c r="B244" s="8"/>
      <c r="C244" s="8"/>
      <c r="D244" s="8"/>
      <c r="E244" s="10"/>
      <c r="F244" s="10"/>
      <c r="G244" s="8"/>
      <c r="H244" s="8"/>
      <c r="I244" s="8"/>
      <c r="J244" s="8"/>
      <c r="K244" s="12"/>
      <c r="L244" s="8"/>
      <c r="M244" s="8"/>
      <c r="N244" s="9" t="str">
        <f aca="false">IF(A244="","",IF(E244="","Sem horário de partida; ","")&amp;IF(AND(B244="Voo",I244=""),"Voo sem código; ",""))</f>
        <v/>
      </c>
    </row>
    <row r="245" customFormat="false" ht="15" hidden="false" customHeight="false" outlineLevel="0" collapsed="false">
      <c r="A245" s="7"/>
      <c r="B245" s="8"/>
      <c r="C245" s="8"/>
      <c r="D245" s="8"/>
      <c r="E245" s="10"/>
      <c r="F245" s="10"/>
      <c r="G245" s="8"/>
      <c r="H245" s="8"/>
      <c r="I245" s="8"/>
      <c r="J245" s="8"/>
      <c r="K245" s="12"/>
      <c r="L245" s="8"/>
      <c r="M245" s="8"/>
      <c r="N245" s="9" t="str">
        <f aca="false">IF(A245="","",IF(E245="","Sem horário de partida; ","")&amp;IF(AND(B245="Voo",I245=""),"Voo sem código; ",""))</f>
        <v/>
      </c>
    </row>
    <row r="246" customFormat="false" ht="15" hidden="false" customHeight="false" outlineLevel="0" collapsed="false">
      <c r="A246" s="7"/>
      <c r="B246" s="8"/>
      <c r="C246" s="8"/>
      <c r="D246" s="8"/>
      <c r="E246" s="10"/>
      <c r="F246" s="10"/>
      <c r="G246" s="8"/>
      <c r="H246" s="8"/>
      <c r="I246" s="8"/>
      <c r="J246" s="8"/>
      <c r="K246" s="12"/>
      <c r="L246" s="8"/>
      <c r="M246" s="8"/>
      <c r="N246" s="9" t="str">
        <f aca="false">IF(A246="","",IF(E246="","Sem horário de partida; ","")&amp;IF(AND(B246="Voo",I246=""),"Voo sem código; ",""))</f>
        <v/>
      </c>
    </row>
    <row r="247" customFormat="false" ht="15" hidden="false" customHeight="false" outlineLevel="0" collapsed="false">
      <c r="A247" s="7"/>
      <c r="B247" s="8"/>
      <c r="C247" s="8"/>
      <c r="D247" s="8"/>
      <c r="E247" s="10"/>
      <c r="F247" s="10"/>
      <c r="G247" s="8"/>
      <c r="H247" s="8"/>
      <c r="I247" s="8"/>
      <c r="J247" s="8"/>
      <c r="K247" s="12"/>
      <c r="L247" s="8"/>
      <c r="M247" s="8"/>
      <c r="N247" s="9" t="str">
        <f aca="false">IF(A247="","",IF(E247="","Sem horário de partida; ","")&amp;IF(AND(B247="Voo",I247=""),"Voo sem código; ",""))</f>
        <v/>
      </c>
    </row>
    <row r="248" customFormat="false" ht="15" hidden="false" customHeight="false" outlineLevel="0" collapsed="false">
      <c r="A248" s="7"/>
      <c r="B248" s="8"/>
      <c r="C248" s="8"/>
      <c r="D248" s="8"/>
      <c r="E248" s="10"/>
      <c r="F248" s="10"/>
      <c r="G248" s="8"/>
      <c r="H248" s="8"/>
      <c r="I248" s="8"/>
      <c r="J248" s="8"/>
      <c r="K248" s="12"/>
      <c r="L248" s="8"/>
      <c r="M248" s="8"/>
      <c r="N248" s="9" t="str">
        <f aca="false">IF(A248="","",IF(E248="","Sem horário de partida; ","")&amp;IF(AND(B248="Voo",I248=""),"Voo sem código; ",""))</f>
        <v/>
      </c>
    </row>
    <row r="249" customFormat="false" ht="15" hidden="false" customHeight="false" outlineLevel="0" collapsed="false">
      <c r="A249" s="7"/>
      <c r="B249" s="8"/>
      <c r="C249" s="8"/>
      <c r="D249" s="8"/>
      <c r="E249" s="10"/>
      <c r="F249" s="10"/>
      <c r="G249" s="8"/>
      <c r="H249" s="8"/>
      <c r="I249" s="8"/>
      <c r="J249" s="8"/>
      <c r="K249" s="12"/>
      <c r="L249" s="8"/>
      <c r="M249" s="8"/>
      <c r="N249" s="9" t="str">
        <f aca="false">IF(A249="","",IF(E249="","Sem horário de partida; ","")&amp;IF(AND(B249="Voo",I249=""),"Voo sem código; ",""))</f>
        <v/>
      </c>
    </row>
    <row r="250" customFormat="false" ht="15" hidden="false" customHeight="false" outlineLevel="0" collapsed="false">
      <c r="A250" s="7"/>
      <c r="B250" s="8"/>
      <c r="C250" s="8"/>
      <c r="D250" s="8"/>
      <c r="E250" s="10"/>
      <c r="F250" s="10"/>
      <c r="G250" s="8"/>
      <c r="H250" s="8"/>
      <c r="I250" s="8"/>
      <c r="J250" s="8"/>
      <c r="K250" s="12"/>
      <c r="L250" s="8"/>
      <c r="M250" s="8"/>
      <c r="N250" s="9" t="str">
        <f aca="false">IF(A250="","",IF(E250="","Sem horário de partida; ","")&amp;IF(AND(B250="Voo",I250=""),"Voo sem código; ",""))</f>
        <v/>
      </c>
    </row>
    <row r="251" customFormat="false" ht="15" hidden="false" customHeight="false" outlineLevel="0" collapsed="false">
      <c r="A251" s="7"/>
      <c r="B251" s="8"/>
      <c r="C251" s="8"/>
      <c r="D251" s="8"/>
      <c r="E251" s="10"/>
      <c r="F251" s="10"/>
      <c r="G251" s="8"/>
      <c r="H251" s="8"/>
      <c r="I251" s="8"/>
      <c r="J251" s="8"/>
      <c r="K251" s="12"/>
      <c r="L251" s="8"/>
      <c r="M251" s="8"/>
      <c r="N251" s="9" t="str">
        <f aca="false">IF(A251="","",IF(E251="","Sem horário de partida; ","")&amp;IF(AND(B251="Voo",I251=""),"Voo sem código; ",""))</f>
        <v/>
      </c>
    </row>
    <row r="252" customFormat="false" ht="15" hidden="false" customHeight="false" outlineLevel="0" collapsed="false">
      <c r="A252" s="7"/>
      <c r="B252" s="8"/>
      <c r="C252" s="8"/>
      <c r="D252" s="8"/>
      <c r="E252" s="10"/>
      <c r="F252" s="10"/>
      <c r="G252" s="8"/>
      <c r="H252" s="8"/>
      <c r="I252" s="8"/>
      <c r="J252" s="8"/>
      <c r="K252" s="12"/>
      <c r="L252" s="8"/>
      <c r="M252" s="8"/>
      <c r="N252" s="9" t="str">
        <f aca="false">IF(A252="","",IF(E252="","Sem horário de partida; ","")&amp;IF(AND(B252="Voo",I252=""),"Voo sem código; ",""))</f>
        <v/>
      </c>
    </row>
    <row r="253" customFormat="false" ht="15" hidden="false" customHeight="false" outlineLevel="0" collapsed="false">
      <c r="A253" s="7"/>
      <c r="B253" s="8"/>
      <c r="C253" s="8"/>
      <c r="D253" s="8"/>
      <c r="E253" s="10"/>
      <c r="F253" s="10"/>
      <c r="G253" s="8"/>
      <c r="H253" s="8"/>
      <c r="I253" s="8"/>
      <c r="J253" s="8"/>
      <c r="K253" s="12"/>
      <c r="L253" s="8"/>
      <c r="M253" s="8"/>
      <c r="N253" s="9" t="str">
        <f aca="false">IF(A253="","",IF(E253="","Sem horário de partida; ","")&amp;IF(AND(B253="Voo",I253=""),"Voo sem código; ",""))</f>
        <v/>
      </c>
    </row>
    <row r="254" customFormat="false" ht="15" hidden="false" customHeight="false" outlineLevel="0" collapsed="false">
      <c r="A254" s="7"/>
      <c r="B254" s="8"/>
      <c r="C254" s="8"/>
      <c r="D254" s="8"/>
      <c r="E254" s="10"/>
      <c r="F254" s="10"/>
      <c r="G254" s="8"/>
      <c r="H254" s="8"/>
      <c r="I254" s="8"/>
      <c r="J254" s="8"/>
      <c r="K254" s="12"/>
      <c r="L254" s="8"/>
      <c r="M254" s="8"/>
      <c r="N254" s="9" t="str">
        <f aca="false">IF(A254="","",IF(E254="","Sem horário de partida; ","")&amp;IF(AND(B254="Voo",I254=""),"Voo sem código; ",""))</f>
        <v/>
      </c>
    </row>
    <row r="255" customFormat="false" ht="15" hidden="false" customHeight="false" outlineLevel="0" collapsed="false">
      <c r="A255" s="7"/>
      <c r="B255" s="8"/>
      <c r="C255" s="8"/>
      <c r="D255" s="8"/>
      <c r="E255" s="10"/>
      <c r="F255" s="10"/>
      <c r="G255" s="8"/>
      <c r="H255" s="8"/>
      <c r="I255" s="8"/>
      <c r="J255" s="8"/>
      <c r="K255" s="12"/>
      <c r="L255" s="8"/>
      <c r="M255" s="8"/>
      <c r="N255" s="9" t="str">
        <f aca="false">IF(A255="","",IF(E255="","Sem horário de partida; ","")&amp;IF(AND(B255="Voo",I255=""),"Voo sem código; ",""))</f>
        <v/>
      </c>
    </row>
    <row r="256" customFormat="false" ht="15" hidden="false" customHeight="false" outlineLevel="0" collapsed="false">
      <c r="A256" s="7"/>
      <c r="B256" s="8"/>
      <c r="C256" s="8"/>
      <c r="D256" s="8"/>
      <c r="E256" s="10"/>
      <c r="F256" s="10"/>
      <c r="G256" s="8"/>
      <c r="H256" s="8"/>
      <c r="I256" s="8"/>
      <c r="J256" s="8"/>
      <c r="K256" s="12"/>
      <c r="L256" s="8"/>
      <c r="M256" s="8"/>
      <c r="N256" s="9" t="str">
        <f aca="false">IF(A256="","",IF(E256="","Sem horário de partida; ","")&amp;IF(AND(B256="Voo",I256=""),"Voo sem código; ",""))</f>
        <v/>
      </c>
    </row>
    <row r="257" customFormat="false" ht="15" hidden="false" customHeight="false" outlineLevel="0" collapsed="false">
      <c r="A257" s="7"/>
      <c r="B257" s="8"/>
      <c r="C257" s="8"/>
      <c r="D257" s="8"/>
      <c r="E257" s="10"/>
      <c r="F257" s="10"/>
      <c r="G257" s="8"/>
      <c r="H257" s="8"/>
      <c r="I257" s="8"/>
      <c r="J257" s="8"/>
      <c r="K257" s="12"/>
      <c r="L257" s="8"/>
      <c r="M257" s="8"/>
      <c r="N257" s="9" t="str">
        <f aca="false">IF(A257="","",IF(E257="","Sem horário de partida; ","")&amp;IF(AND(B257="Voo",I257=""),"Voo sem código; ",""))</f>
        <v/>
      </c>
    </row>
    <row r="258" customFormat="false" ht="15" hidden="false" customHeight="false" outlineLevel="0" collapsed="false">
      <c r="A258" s="7"/>
      <c r="B258" s="8"/>
      <c r="C258" s="8"/>
      <c r="D258" s="8"/>
      <c r="E258" s="10"/>
      <c r="F258" s="10"/>
      <c r="G258" s="8"/>
      <c r="H258" s="8"/>
      <c r="I258" s="8"/>
      <c r="J258" s="8"/>
      <c r="K258" s="12"/>
      <c r="L258" s="8"/>
      <c r="M258" s="8"/>
      <c r="N258" s="9" t="str">
        <f aca="false">IF(A258="","",IF(E258="","Sem horário de partida; ","")&amp;IF(AND(B258="Voo",I258=""),"Voo sem código; ",""))</f>
        <v/>
      </c>
    </row>
    <row r="259" customFormat="false" ht="15" hidden="false" customHeight="false" outlineLevel="0" collapsed="false">
      <c r="A259" s="7"/>
      <c r="B259" s="8"/>
      <c r="C259" s="8"/>
      <c r="D259" s="8"/>
      <c r="E259" s="10"/>
      <c r="F259" s="10"/>
      <c r="G259" s="8"/>
      <c r="H259" s="8"/>
      <c r="I259" s="8"/>
      <c r="J259" s="8"/>
      <c r="K259" s="12"/>
      <c r="L259" s="8"/>
      <c r="M259" s="8"/>
      <c r="N259" s="9" t="str">
        <f aca="false">IF(A259="","",IF(E259="","Sem horário de partida; ","")&amp;IF(AND(B259="Voo",I259=""),"Voo sem código; ",""))</f>
        <v/>
      </c>
    </row>
    <row r="260" customFormat="false" ht="15" hidden="false" customHeight="false" outlineLevel="0" collapsed="false">
      <c r="A260" s="7"/>
      <c r="B260" s="8"/>
      <c r="C260" s="8"/>
      <c r="D260" s="8"/>
      <c r="E260" s="10"/>
      <c r="F260" s="10"/>
      <c r="G260" s="8"/>
      <c r="H260" s="8"/>
      <c r="I260" s="8"/>
      <c r="J260" s="8"/>
      <c r="K260" s="12"/>
      <c r="L260" s="8"/>
      <c r="M260" s="8"/>
      <c r="N260" s="9" t="str">
        <f aca="false">IF(A260="","",IF(E260="","Sem horário de partida; ","")&amp;IF(AND(B260="Voo",I260=""),"Voo sem código; ",""))</f>
        <v/>
      </c>
    </row>
    <row r="261" customFormat="false" ht="15" hidden="false" customHeight="false" outlineLevel="0" collapsed="false">
      <c r="A261" s="7"/>
      <c r="B261" s="8"/>
      <c r="C261" s="8"/>
      <c r="D261" s="8"/>
      <c r="E261" s="10"/>
      <c r="F261" s="10"/>
      <c r="G261" s="8"/>
      <c r="H261" s="8"/>
      <c r="I261" s="8"/>
      <c r="J261" s="8"/>
      <c r="K261" s="12"/>
      <c r="L261" s="8"/>
      <c r="M261" s="8"/>
      <c r="N261" s="9" t="str">
        <f aca="false">IF(A261="","",IF(E261="","Sem horário de partida; ","")&amp;IF(AND(B261="Voo",I261=""),"Voo sem código; ",""))</f>
        <v/>
      </c>
    </row>
    <row r="262" customFormat="false" ht="15" hidden="false" customHeight="false" outlineLevel="0" collapsed="false">
      <c r="A262" s="7"/>
      <c r="B262" s="8"/>
      <c r="C262" s="8"/>
      <c r="D262" s="8"/>
      <c r="E262" s="10"/>
      <c r="F262" s="10"/>
      <c r="G262" s="8"/>
      <c r="H262" s="8"/>
      <c r="I262" s="8"/>
      <c r="J262" s="8"/>
      <c r="K262" s="12"/>
      <c r="L262" s="8"/>
      <c r="M262" s="8"/>
      <c r="N262" s="9" t="str">
        <f aca="false">IF(A262="","",IF(E262="","Sem horário de partida; ","")&amp;IF(AND(B262="Voo",I262=""),"Voo sem código; ",""))</f>
        <v/>
      </c>
    </row>
    <row r="263" customFormat="false" ht="15" hidden="false" customHeight="false" outlineLevel="0" collapsed="false">
      <c r="A263" s="7"/>
      <c r="B263" s="8"/>
      <c r="C263" s="8"/>
      <c r="D263" s="8"/>
      <c r="E263" s="10"/>
      <c r="F263" s="10"/>
      <c r="G263" s="8"/>
      <c r="H263" s="8"/>
      <c r="I263" s="8"/>
      <c r="J263" s="8"/>
      <c r="K263" s="12"/>
      <c r="L263" s="8"/>
      <c r="M263" s="8"/>
      <c r="N263" s="9" t="str">
        <f aca="false">IF(A263="","",IF(E263="","Sem horário de partida; ","")&amp;IF(AND(B263="Voo",I263=""),"Voo sem código; ",""))</f>
        <v/>
      </c>
    </row>
    <row r="264" customFormat="false" ht="15" hidden="false" customHeight="false" outlineLevel="0" collapsed="false">
      <c r="A264" s="7"/>
      <c r="B264" s="8"/>
      <c r="C264" s="8"/>
      <c r="D264" s="8"/>
      <c r="E264" s="10"/>
      <c r="F264" s="10"/>
      <c r="G264" s="8"/>
      <c r="H264" s="8"/>
      <c r="I264" s="8"/>
      <c r="J264" s="8"/>
      <c r="K264" s="12"/>
      <c r="L264" s="8"/>
      <c r="M264" s="8"/>
      <c r="N264" s="9" t="str">
        <f aca="false">IF(A264="","",IF(E264="","Sem horário de partida; ","")&amp;IF(AND(B264="Voo",I264=""),"Voo sem código; ",""))</f>
        <v/>
      </c>
    </row>
    <row r="265" customFormat="false" ht="15" hidden="false" customHeight="false" outlineLevel="0" collapsed="false">
      <c r="A265" s="7"/>
      <c r="B265" s="8"/>
      <c r="C265" s="8"/>
      <c r="D265" s="8"/>
      <c r="E265" s="10"/>
      <c r="F265" s="10"/>
      <c r="G265" s="8"/>
      <c r="H265" s="8"/>
      <c r="I265" s="8"/>
      <c r="J265" s="8"/>
      <c r="K265" s="12"/>
      <c r="L265" s="8"/>
      <c r="M265" s="8"/>
      <c r="N265" s="9" t="str">
        <f aca="false">IF(A265="","",IF(E265="","Sem horário de partida; ","")&amp;IF(AND(B265="Voo",I265=""),"Voo sem código; ",""))</f>
        <v/>
      </c>
    </row>
    <row r="266" customFormat="false" ht="15" hidden="false" customHeight="false" outlineLevel="0" collapsed="false">
      <c r="A266" s="7"/>
      <c r="B266" s="8"/>
      <c r="C266" s="8"/>
      <c r="D266" s="8"/>
      <c r="E266" s="10"/>
      <c r="F266" s="10"/>
      <c r="G266" s="8"/>
      <c r="H266" s="8"/>
      <c r="I266" s="8"/>
      <c r="J266" s="8"/>
      <c r="K266" s="12"/>
      <c r="L266" s="8"/>
      <c r="M266" s="8"/>
      <c r="N266" s="9" t="str">
        <f aca="false">IF(A266="","",IF(E266="","Sem horário de partida; ","")&amp;IF(AND(B266="Voo",I266=""),"Voo sem código; ",""))</f>
        <v/>
      </c>
    </row>
    <row r="267" customFormat="false" ht="15" hidden="false" customHeight="false" outlineLevel="0" collapsed="false">
      <c r="A267" s="7"/>
      <c r="B267" s="8"/>
      <c r="C267" s="8"/>
      <c r="D267" s="8"/>
      <c r="E267" s="10"/>
      <c r="F267" s="10"/>
      <c r="G267" s="8"/>
      <c r="H267" s="8"/>
      <c r="I267" s="8"/>
      <c r="J267" s="8"/>
      <c r="K267" s="12"/>
      <c r="L267" s="8"/>
      <c r="M267" s="8"/>
      <c r="N267" s="9" t="str">
        <f aca="false">IF(A267="","",IF(E267="","Sem horário de partida; ","")&amp;IF(AND(B267="Voo",I267=""),"Voo sem código; ",""))</f>
        <v/>
      </c>
    </row>
    <row r="268" customFormat="false" ht="15" hidden="false" customHeight="false" outlineLevel="0" collapsed="false">
      <c r="A268" s="7"/>
      <c r="B268" s="8"/>
      <c r="C268" s="8"/>
      <c r="D268" s="8"/>
      <c r="E268" s="10"/>
      <c r="F268" s="10"/>
      <c r="G268" s="8"/>
      <c r="H268" s="8"/>
      <c r="I268" s="8"/>
      <c r="J268" s="8"/>
      <c r="K268" s="12"/>
      <c r="L268" s="8"/>
      <c r="M268" s="8"/>
      <c r="N268" s="9" t="str">
        <f aca="false">IF(A268="","",IF(E268="","Sem horário de partida; ","")&amp;IF(AND(B268="Voo",I268=""),"Voo sem código; ",""))</f>
        <v/>
      </c>
    </row>
    <row r="269" customFormat="false" ht="15" hidden="false" customHeight="false" outlineLevel="0" collapsed="false">
      <c r="A269" s="7"/>
      <c r="B269" s="8"/>
      <c r="C269" s="8"/>
      <c r="D269" s="8"/>
      <c r="E269" s="10"/>
      <c r="F269" s="10"/>
      <c r="G269" s="8"/>
      <c r="H269" s="8"/>
      <c r="I269" s="8"/>
      <c r="J269" s="8"/>
      <c r="K269" s="12"/>
      <c r="L269" s="8"/>
      <c r="M269" s="8"/>
      <c r="N269" s="9" t="str">
        <f aca="false">IF(A269="","",IF(E269="","Sem horário de partida; ","")&amp;IF(AND(B269="Voo",I269=""),"Voo sem código; ",""))</f>
        <v/>
      </c>
    </row>
    <row r="270" customFormat="false" ht="15" hidden="false" customHeight="false" outlineLevel="0" collapsed="false">
      <c r="A270" s="7"/>
      <c r="B270" s="8"/>
      <c r="C270" s="8"/>
      <c r="D270" s="8"/>
      <c r="E270" s="10"/>
      <c r="F270" s="10"/>
      <c r="G270" s="8"/>
      <c r="H270" s="8"/>
      <c r="I270" s="8"/>
      <c r="J270" s="8"/>
      <c r="K270" s="12"/>
      <c r="L270" s="8"/>
      <c r="M270" s="8"/>
      <c r="N270" s="9" t="str">
        <f aca="false">IF(A270="","",IF(E270="","Sem horário de partida; ","")&amp;IF(AND(B270="Voo",I270=""),"Voo sem código; ",""))</f>
        <v/>
      </c>
    </row>
    <row r="271" customFormat="false" ht="15" hidden="false" customHeight="false" outlineLevel="0" collapsed="false">
      <c r="A271" s="7"/>
      <c r="B271" s="8"/>
      <c r="C271" s="8"/>
      <c r="D271" s="8"/>
      <c r="E271" s="10"/>
      <c r="F271" s="10"/>
      <c r="G271" s="8"/>
      <c r="H271" s="8"/>
      <c r="I271" s="8"/>
      <c r="J271" s="8"/>
      <c r="K271" s="12"/>
      <c r="L271" s="8"/>
      <c r="M271" s="8"/>
      <c r="N271" s="9" t="str">
        <f aca="false">IF(A271="","",IF(E271="","Sem horário de partida; ","")&amp;IF(AND(B271="Voo",I271=""),"Voo sem código; ",""))</f>
        <v/>
      </c>
    </row>
    <row r="272" customFormat="false" ht="15" hidden="false" customHeight="false" outlineLevel="0" collapsed="false">
      <c r="A272" s="7"/>
      <c r="B272" s="8"/>
      <c r="C272" s="8"/>
      <c r="D272" s="8"/>
      <c r="E272" s="10"/>
      <c r="F272" s="10"/>
      <c r="G272" s="8"/>
      <c r="H272" s="8"/>
      <c r="I272" s="8"/>
      <c r="J272" s="8"/>
      <c r="K272" s="12"/>
      <c r="L272" s="8"/>
      <c r="M272" s="8"/>
      <c r="N272" s="9" t="str">
        <f aca="false">IF(A272="","",IF(E272="","Sem horário de partida; ","")&amp;IF(AND(B272="Voo",I272=""),"Voo sem código; ",""))</f>
        <v/>
      </c>
    </row>
    <row r="273" customFormat="false" ht="15" hidden="false" customHeight="false" outlineLevel="0" collapsed="false">
      <c r="A273" s="7"/>
      <c r="B273" s="8"/>
      <c r="C273" s="8"/>
      <c r="D273" s="8"/>
      <c r="E273" s="10"/>
      <c r="F273" s="10"/>
      <c r="G273" s="8"/>
      <c r="H273" s="8"/>
      <c r="I273" s="8"/>
      <c r="J273" s="8"/>
      <c r="K273" s="12"/>
      <c r="L273" s="8"/>
      <c r="M273" s="8"/>
      <c r="N273" s="9" t="str">
        <f aca="false">IF(A273="","",IF(E273="","Sem horário de partida; ","")&amp;IF(AND(B273="Voo",I273=""),"Voo sem código; ",""))</f>
        <v/>
      </c>
    </row>
    <row r="274" customFormat="false" ht="15" hidden="false" customHeight="false" outlineLevel="0" collapsed="false">
      <c r="A274" s="7"/>
      <c r="B274" s="8"/>
      <c r="C274" s="8"/>
      <c r="D274" s="8"/>
      <c r="E274" s="10"/>
      <c r="F274" s="10"/>
      <c r="G274" s="8"/>
      <c r="H274" s="8"/>
      <c r="I274" s="8"/>
      <c r="J274" s="8"/>
      <c r="K274" s="12"/>
      <c r="L274" s="8"/>
      <c r="M274" s="8"/>
      <c r="N274" s="9" t="str">
        <f aca="false">IF(A274="","",IF(E274="","Sem horário de partida; ","")&amp;IF(AND(B274="Voo",I274=""),"Voo sem código; ",""))</f>
        <v/>
      </c>
    </row>
    <row r="275" customFormat="false" ht="15" hidden="false" customHeight="false" outlineLevel="0" collapsed="false">
      <c r="A275" s="7"/>
      <c r="B275" s="8"/>
      <c r="C275" s="8"/>
      <c r="D275" s="8"/>
      <c r="E275" s="10"/>
      <c r="F275" s="10"/>
      <c r="G275" s="8"/>
      <c r="H275" s="8"/>
      <c r="I275" s="8"/>
      <c r="J275" s="8"/>
      <c r="K275" s="12"/>
      <c r="L275" s="8"/>
      <c r="M275" s="8"/>
      <c r="N275" s="9" t="str">
        <f aca="false">IF(A275="","",IF(E275="","Sem horário de partida; ","")&amp;IF(AND(B275="Voo",I275=""),"Voo sem código; ",""))</f>
        <v/>
      </c>
    </row>
    <row r="276" customFormat="false" ht="15" hidden="false" customHeight="false" outlineLevel="0" collapsed="false">
      <c r="A276" s="7"/>
      <c r="B276" s="8"/>
      <c r="C276" s="8"/>
      <c r="D276" s="8"/>
      <c r="E276" s="10"/>
      <c r="F276" s="10"/>
      <c r="G276" s="8"/>
      <c r="H276" s="8"/>
      <c r="I276" s="8"/>
      <c r="J276" s="8"/>
      <c r="K276" s="12"/>
      <c r="L276" s="8"/>
      <c r="M276" s="8"/>
      <c r="N276" s="9" t="str">
        <f aca="false">IF(A276="","",IF(E276="","Sem horário de partida; ","")&amp;IF(AND(B276="Voo",I276=""),"Voo sem código; ",""))</f>
        <v/>
      </c>
    </row>
    <row r="277" customFormat="false" ht="15" hidden="false" customHeight="false" outlineLevel="0" collapsed="false">
      <c r="A277" s="7"/>
      <c r="B277" s="8"/>
      <c r="C277" s="8"/>
      <c r="D277" s="8"/>
      <c r="E277" s="10"/>
      <c r="F277" s="10"/>
      <c r="G277" s="8"/>
      <c r="H277" s="8"/>
      <c r="I277" s="8"/>
      <c r="J277" s="8"/>
      <c r="K277" s="12"/>
      <c r="L277" s="8"/>
      <c r="M277" s="8"/>
      <c r="N277" s="9" t="str">
        <f aca="false">IF(A277="","",IF(E277="","Sem horário de partida; ","")&amp;IF(AND(B277="Voo",I277=""),"Voo sem código; ",""))</f>
        <v/>
      </c>
    </row>
    <row r="278" customFormat="false" ht="15" hidden="false" customHeight="false" outlineLevel="0" collapsed="false">
      <c r="A278" s="7"/>
      <c r="B278" s="8"/>
      <c r="C278" s="8"/>
      <c r="D278" s="8"/>
      <c r="E278" s="10"/>
      <c r="F278" s="10"/>
      <c r="G278" s="8"/>
      <c r="H278" s="8"/>
      <c r="I278" s="8"/>
      <c r="J278" s="8"/>
      <c r="K278" s="12"/>
      <c r="L278" s="8"/>
      <c r="M278" s="8"/>
      <c r="N278" s="9" t="str">
        <f aca="false">IF(A278="","",IF(E278="","Sem horário de partida; ","")&amp;IF(AND(B278="Voo",I278=""),"Voo sem código; ",""))</f>
        <v/>
      </c>
    </row>
    <row r="279" customFormat="false" ht="15" hidden="false" customHeight="false" outlineLevel="0" collapsed="false">
      <c r="A279" s="7"/>
      <c r="B279" s="8"/>
      <c r="C279" s="8"/>
      <c r="D279" s="8"/>
      <c r="E279" s="10"/>
      <c r="F279" s="10"/>
      <c r="G279" s="8"/>
      <c r="H279" s="8"/>
      <c r="I279" s="8"/>
      <c r="J279" s="8"/>
      <c r="K279" s="12"/>
      <c r="L279" s="8"/>
      <c r="M279" s="8"/>
      <c r="N279" s="9" t="str">
        <f aca="false">IF(A279="","",IF(E279="","Sem horário de partida; ","")&amp;IF(AND(B279="Voo",I279=""),"Voo sem código; ",""))</f>
        <v/>
      </c>
    </row>
    <row r="280" customFormat="false" ht="15" hidden="false" customHeight="false" outlineLevel="0" collapsed="false">
      <c r="A280" s="7"/>
      <c r="B280" s="8"/>
      <c r="C280" s="8"/>
      <c r="D280" s="8"/>
      <c r="E280" s="10"/>
      <c r="F280" s="10"/>
      <c r="G280" s="8"/>
      <c r="H280" s="8"/>
      <c r="I280" s="8"/>
      <c r="J280" s="8"/>
      <c r="K280" s="12"/>
      <c r="L280" s="8"/>
      <c r="M280" s="8"/>
      <c r="N280" s="9" t="str">
        <f aca="false">IF(A280="","",IF(E280="","Sem horário de partida; ","")&amp;IF(AND(B280="Voo",I280=""),"Voo sem código; ",""))</f>
        <v/>
      </c>
    </row>
    <row r="281" customFormat="false" ht="15" hidden="false" customHeight="false" outlineLevel="0" collapsed="false">
      <c r="A281" s="7"/>
      <c r="B281" s="8"/>
      <c r="C281" s="8"/>
      <c r="D281" s="8"/>
      <c r="E281" s="10"/>
      <c r="F281" s="10"/>
      <c r="G281" s="8"/>
      <c r="H281" s="8"/>
      <c r="I281" s="8"/>
      <c r="J281" s="8"/>
      <c r="K281" s="12"/>
      <c r="L281" s="8"/>
      <c r="M281" s="8"/>
      <c r="N281" s="9" t="str">
        <f aca="false">IF(A281="","",IF(E281="","Sem horário de partida; ","")&amp;IF(AND(B281="Voo",I281=""),"Voo sem código; ",""))</f>
        <v/>
      </c>
    </row>
    <row r="282" customFormat="false" ht="15" hidden="false" customHeight="false" outlineLevel="0" collapsed="false">
      <c r="A282" s="7"/>
      <c r="B282" s="8"/>
      <c r="C282" s="8"/>
      <c r="D282" s="8"/>
      <c r="E282" s="10"/>
      <c r="F282" s="10"/>
      <c r="G282" s="8"/>
      <c r="H282" s="8"/>
      <c r="I282" s="8"/>
      <c r="J282" s="8"/>
      <c r="K282" s="12"/>
      <c r="L282" s="8"/>
      <c r="M282" s="8"/>
      <c r="N282" s="9" t="str">
        <f aca="false">IF(A282="","",IF(E282="","Sem horário de partida; ","")&amp;IF(AND(B282="Voo",I282=""),"Voo sem código; ",""))</f>
        <v/>
      </c>
    </row>
    <row r="283" customFormat="false" ht="15" hidden="false" customHeight="false" outlineLevel="0" collapsed="false">
      <c r="A283" s="7"/>
      <c r="B283" s="8"/>
      <c r="C283" s="8"/>
      <c r="D283" s="8"/>
      <c r="E283" s="10"/>
      <c r="F283" s="10"/>
      <c r="G283" s="8"/>
      <c r="H283" s="8"/>
      <c r="I283" s="8"/>
      <c r="J283" s="8"/>
      <c r="K283" s="12"/>
      <c r="L283" s="8"/>
      <c r="M283" s="8"/>
      <c r="N283" s="9" t="str">
        <f aca="false">IF(A283="","",IF(E283="","Sem horário de partida; ","")&amp;IF(AND(B283="Voo",I283=""),"Voo sem código; ",""))</f>
        <v/>
      </c>
    </row>
    <row r="284" customFormat="false" ht="15" hidden="false" customHeight="false" outlineLevel="0" collapsed="false">
      <c r="A284" s="7"/>
      <c r="B284" s="8"/>
      <c r="C284" s="8"/>
      <c r="D284" s="8"/>
      <c r="E284" s="10"/>
      <c r="F284" s="10"/>
      <c r="G284" s="8"/>
      <c r="H284" s="8"/>
      <c r="I284" s="8"/>
      <c r="J284" s="8"/>
      <c r="K284" s="12"/>
      <c r="L284" s="8"/>
      <c r="M284" s="8"/>
      <c r="N284" s="9" t="str">
        <f aca="false">IF(A284="","",IF(E284="","Sem horário de partida; ","")&amp;IF(AND(B284="Voo",I284=""),"Voo sem código; ",""))</f>
        <v/>
      </c>
    </row>
    <row r="285" customFormat="false" ht="15" hidden="false" customHeight="false" outlineLevel="0" collapsed="false">
      <c r="A285" s="7"/>
      <c r="B285" s="8"/>
      <c r="C285" s="8"/>
      <c r="D285" s="8"/>
      <c r="E285" s="10"/>
      <c r="F285" s="10"/>
      <c r="G285" s="8"/>
      <c r="H285" s="8"/>
      <c r="I285" s="8"/>
      <c r="J285" s="8"/>
      <c r="K285" s="12"/>
      <c r="L285" s="8"/>
      <c r="M285" s="8"/>
      <c r="N285" s="9" t="str">
        <f aca="false">IF(A285="","",IF(E285="","Sem horário de partida; ","")&amp;IF(AND(B285="Voo",I285=""),"Voo sem código; ",""))</f>
        <v/>
      </c>
    </row>
    <row r="286" customFormat="false" ht="15" hidden="false" customHeight="false" outlineLevel="0" collapsed="false">
      <c r="A286" s="7"/>
      <c r="B286" s="8"/>
      <c r="C286" s="8"/>
      <c r="D286" s="8"/>
      <c r="E286" s="10"/>
      <c r="F286" s="10"/>
      <c r="G286" s="8"/>
      <c r="H286" s="8"/>
      <c r="I286" s="8"/>
      <c r="J286" s="8"/>
      <c r="K286" s="12"/>
      <c r="L286" s="8"/>
      <c r="M286" s="8"/>
      <c r="N286" s="9" t="str">
        <f aca="false">IF(A286="","",IF(E286="","Sem horário de partida; ","")&amp;IF(AND(B286="Voo",I286=""),"Voo sem código; ",""))</f>
        <v/>
      </c>
    </row>
    <row r="287" customFormat="false" ht="15" hidden="false" customHeight="false" outlineLevel="0" collapsed="false">
      <c r="A287" s="7"/>
      <c r="B287" s="8"/>
      <c r="C287" s="8"/>
      <c r="D287" s="8"/>
      <c r="E287" s="10"/>
      <c r="F287" s="10"/>
      <c r="G287" s="8"/>
      <c r="H287" s="8"/>
      <c r="I287" s="8"/>
      <c r="J287" s="8"/>
      <c r="K287" s="12"/>
      <c r="L287" s="8"/>
      <c r="M287" s="8"/>
      <c r="N287" s="9" t="str">
        <f aca="false">IF(A287="","",IF(E287="","Sem horário de partida; ","")&amp;IF(AND(B287="Voo",I287=""),"Voo sem código; ",""))</f>
        <v/>
      </c>
    </row>
    <row r="288" customFormat="false" ht="15" hidden="false" customHeight="false" outlineLevel="0" collapsed="false">
      <c r="A288" s="7"/>
      <c r="B288" s="8"/>
      <c r="C288" s="8"/>
      <c r="D288" s="8"/>
      <c r="E288" s="10"/>
      <c r="F288" s="10"/>
      <c r="G288" s="8"/>
      <c r="H288" s="8"/>
      <c r="I288" s="8"/>
      <c r="J288" s="8"/>
      <c r="K288" s="12"/>
      <c r="L288" s="8"/>
      <c r="M288" s="8"/>
      <c r="N288" s="9" t="str">
        <f aca="false">IF(A288="","",IF(E288="","Sem horário de partida; ","")&amp;IF(AND(B288="Voo",I288=""),"Voo sem código; ",""))</f>
        <v/>
      </c>
    </row>
    <row r="289" customFormat="false" ht="15" hidden="false" customHeight="false" outlineLevel="0" collapsed="false">
      <c r="A289" s="7"/>
      <c r="B289" s="8"/>
      <c r="C289" s="8"/>
      <c r="D289" s="8"/>
      <c r="E289" s="10"/>
      <c r="F289" s="10"/>
      <c r="G289" s="8"/>
      <c r="H289" s="8"/>
      <c r="I289" s="8"/>
      <c r="J289" s="8"/>
      <c r="K289" s="12"/>
      <c r="L289" s="8"/>
      <c r="M289" s="8"/>
      <c r="N289" s="9" t="str">
        <f aca="false">IF(A289="","",IF(E289="","Sem horário de partida; ","")&amp;IF(AND(B289="Voo",I289=""),"Voo sem código; ",""))</f>
        <v/>
      </c>
    </row>
    <row r="290" customFormat="false" ht="15" hidden="false" customHeight="false" outlineLevel="0" collapsed="false">
      <c r="A290" s="7"/>
      <c r="B290" s="8"/>
      <c r="C290" s="8"/>
      <c r="D290" s="8"/>
      <c r="E290" s="10"/>
      <c r="F290" s="10"/>
      <c r="G290" s="8"/>
      <c r="H290" s="8"/>
      <c r="I290" s="8"/>
      <c r="J290" s="8"/>
      <c r="K290" s="12"/>
      <c r="L290" s="8"/>
      <c r="M290" s="8"/>
      <c r="N290" s="9" t="str">
        <f aca="false">IF(A290="","",IF(E290="","Sem horário de partida; ","")&amp;IF(AND(B290="Voo",I290=""),"Voo sem código; ",""))</f>
        <v/>
      </c>
    </row>
    <row r="291" customFormat="false" ht="15" hidden="false" customHeight="false" outlineLevel="0" collapsed="false">
      <c r="A291" s="7"/>
      <c r="B291" s="8"/>
      <c r="C291" s="8"/>
      <c r="D291" s="8"/>
      <c r="E291" s="10"/>
      <c r="F291" s="10"/>
      <c r="G291" s="8"/>
      <c r="H291" s="8"/>
      <c r="I291" s="8"/>
      <c r="J291" s="8"/>
      <c r="K291" s="12"/>
      <c r="L291" s="8"/>
      <c r="M291" s="8"/>
      <c r="N291" s="9" t="str">
        <f aca="false">IF(A291="","",IF(E291="","Sem horário de partida; ","")&amp;IF(AND(B291="Voo",I291=""),"Voo sem código; ",""))</f>
        <v/>
      </c>
    </row>
    <row r="292" customFormat="false" ht="15" hidden="false" customHeight="false" outlineLevel="0" collapsed="false">
      <c r="A292" s="7"/>
      <c r="B292" s="8"/>
      <c r="C292" s="8"/>
      <c r="D292" s="8"/>
      <c r="E292" s="10"/>
      <c r="F292" s="10"/>
      <c r="G292" s="8"/>
      <c r="H292" s="8"/>
      <c r="I292" s="8"/>
      <c r="J292" s="8"/>
      <c r="K292" s="12"/>
      <c r="L292" s="8"/>
      <c r="M292" s="8"/>
      <c r="N292" s="9" t="str">
        <f aca="false">IF(A292="","",IF(E292="","Sem horário de partida; ","")&amp;IF(AND(B292="Voo",I292=""),"Voo sem código; ",""))</f>
        <v/>
      </c>
    </row>
    <row r="293" customFormat="false" ht="15" hidden="false" customHeight="false" outlineLevel="0" collapsed="false">
      <c r="A293" s="7"/>
      <c r="B293" s="8"/>
      <c r="C293" s="8"/>
      <c r="D293" s="8"/>
      <c r="E293" s="10"/>
      <c r="F293" s="10"/>
      <c r="G293" s="8"/>
      <c r="H293" s="8"/>
      <c r="I293" s="8"/>
      <c r="J293" s="8"/>
      <c r="K293" s="12"/>
      <c r="L293" s="8"/>
      <c r="M293" s="8"/>
      <c r="N293" s="9" t="str">
        <f aca="false">IF(A293="","",IF(E293="","Sem horário de partida; ","")&amp;IF(AND(B293="Voo",I293=""),"Voo sem código; ",""))</f>
        <v/>
      </c>
    </row>
    <row r="294" customFormat="false" ht="15" hidden="false" customHeight="false" outlineLevel="0" collapsed="false">
      <c r="A294" s="7"/>
      <c r="B294" s="8"/>
      <c r="C294" s="8"/>
      <c r="D294" s="8"/>
      <c r="E294" s="10"/>
      <c r="F294" s="10"/>
      <c r="G294" s="8"/>
      <c r="H294" s="8"/>
      <c r="I294" s="8"/>
      <c r="J294" s="8"/>
      <c r="K294" s="12"/>
      <c r="L294" s="8"/>
      <c r="M294" s="8"/>
      <c r="N294" s="9" t="str">
        <f aca="false">IF(A294="","",IF(E294="","Sem horário de partida; ","")&amp;IF(AND(B294="Voo",I294=""),"Voo sem código; ",""))</f>
        <v/>
      </c>
    </row>
    <row r="295" customFormat="false" ht="15" hidden="false" customHeight="false" outlineLevel="0" collapsed="false">
      <c r="A295" s="7"/>
      <c r="B295" s="8"/>
      <c r="C295" s="8"/>
      <c r="D295" s="8"/>
      <c r="E295" s="10"/>
      <c r="F295" s="10"/>
      <c r="G295" s="8"/>
      <c r="H295" s="8"/>
      <c r="I295" s="8"/>
      <c r="J295" s="8"/>
      <c r="K295" s="12"/>
      <c r="L295" s="8"/>
      <c r="M295" s="8"/>
      <c r="N295" s="9" t="str">
        <f aca="false">IF(A295="","",IF(E295="","Sem horário de partida; ","")&amp;IF(AND(B295="Voo",I295=""),"Voo sem código; ",""))</f>
        <v/>
      </c>
    </row>
    <row r="296" customFormat="false" ht="15" hidden="false" customHeight="false" outlineLevel="0" collapsed="false">
      <c r="A296" s="7"/>
      <c r="B296" s="8"/>
      <c r="C296" s="8"/>
      <c r="D296" s="8"/>
      <c r="E296" s="10"/>
      <c r="F296" s="10"/>
      <c r="G296" s="8"/>
      <c r="H296" s="8"/>
      <c r="I296" s="8"/>
      <c r="J296" s="8"/>
      <c r="K296" s="12"/>
      <c r="L296" s="8"/>
      <c r="M296" s="8"/>
      <c r="N296" s="9" t="str">
        <f aca="false">IF(A296="","",IF(E296="","Sem horário de partida; ","")&amp;IF(AND(B296="Voo",I296=""),"Voo sem código; ",""))</f>
        <v/>
      </c>
    </row>
    <row r="297" customFormat="false" ht="15" hidden="false" customHeight="false" outlineLevel="0" collapsed="false">
      <c r="A297" s="7"/>
      <c r="B297" s="8"/>
      <c r="C297" s="8"/>
      <c r="D297" s="8"/>
      <c r="E297" s="10"/>
      <c r="F297" s="10"/>
      <c r="G297" s="8"/>
      <c r="H297" s="8"/>
      <c r="I297" s="8"/>
      <c r="J297" s="8"/>
      <c r="K297" s="12"/>
      <c r="L297" s="8"/>
      <c r="M297" s="8"/>
      <c r="N297" s="9" t="str">
        <f aca="false">IF(A297="","",IF(E297="","Sem horário de partida; ","")&amp;IF(AND(B297="Voo",I297=""),"Voo sem código; ",""))</f>
        <v/>
      </c>
    </row>
    <row r="298" customFormat="false" ht="15" hidden="false" customHeight="false" outlineLevel="0" collapsed="false">
      <c r="A298" s="7"/>
      <c r="B298" s="8"/>
      <c r="C298" s="8"/>
      <c r="D298" s="8"/>
      <c r="E298" s="10"/>
      <c r="F298" s="10"/>
      <c r="G298" s="8"/>
      <c r="H298" s="8"/>
      <c r="I298" s="8"/>
      <c r="J298" s="8"/>
      <c r="K298" s="12"/>
      <c r="L298" s="8"/>
      <c r="M298" s="8"/>
      <c r="N298" s="9" t="str">
        <f aca="false">IF(A298="","",IF(E298="","Sem horário de partida; ","")&amp;IF(AND(B298="Voo",I298=""),"Voo sem código; ",""))</f>
        <v/>
      </c>
    </row>
    <row r="299" customFormat="false" ht="15" hidden="false" customHeight="false" outlineLevel="0" collapsed="false">
      <c r="A299" s="7"/>
      <c r="B299" s="8"/>
      <c r="C299" s="8"/>
      <c r="D299" s="8"/>
      <c r="E299" s="10"/>
      <c r="F299" s="10"/>
      <c r="G299" s="8"/>
      <c r="H299" s="8"/>
      <c r="I299" s="8"/>
      <c r="J299" s="8"/>
      <c r="K299" s="12"/>
      <c r="L299" s="8"/>
      <c r="M299" s="8"/>
      <c r="N299" s="9" t="str">
        <f aca="false">IF(A299="","",IF(E299="","Sem horário de partida; ","")&amp;IF(AND(B299="Voo",I299=""),"Voo sem código; ",""))</f>
        <v/>
      </c>
    </row>
    <row r="300" customFormat="false" ht="15" hidden="false" customHeight="false" outlineLevel="0" collapsed="false">
      <c r="A300" s="7"/>
      <c r="B300" s="8"/>
      <c r="C300" s="8"/>
      <c r="D300" s="8"/>
      <c r="E300" s="10"/>
      <c r="F300" s="10"/>
      <c r="G300" s="8"/>
      <c r="H300" s="8"/>
      <c r="I300" s="8"/>
      <c r="J300" s="8"/>
      <c r="K300" s="12"/>
      <c r="L300" s="8"/>
      <c r="M300" s="8"/>
      <c r="N300" s="9" t="str">
        <f aca="false">IF(A300="","",IF(E300="","Sem horário de partida; ","")&amp;IF(AND(B300="Voo",I300=""),"Voo sem código; ",""))</f>
        <v/>
      </c>
    </row>
    <row r="301" customFormat="false" ht="15" hidden="false" customHeight="false" outlineLevel="0" collapsed="false">
      <c r="A301" s="7"/>
      <c r="B301" s="8"/>
      <c r="C301" s="8"/>
      <c r="D301" s="8"/>
      <c r="E301" s="10"/>
      <c r="F301" s="10"/>
      <c r="G301" s="8"/>
      <c r="H301" s="8"/>
      <c r="I301" s="8"/>
      <c r="J301" s="8"/>
      <c r="K301" s="12"/>
      <c r="L301" s="8"/>
      <c r="M301" s="8"/>
      <c r="N301" s="9" t="str">
        <f aca="false">IF(A301="","",IF(E301="","Sem horário de partida; ","")&amp;IF(AND(B301="Voo",I301=""),"Voo sem código; ",""))</f>
        <v/>
      </c>
    </row>
  </sheetData>
  <dataValidations count="2">
    <dataValidation allowBlank="true" error="Escolha um valor da lista." errorStyle="stop" errorTitle="Valor fora da lista" operator="between" showDropDown="false" showErrorMessage="false" showInputMessage="false" sqref="B2:B301" type="list">
      <formula1>"Voo,Trem,Ônibus,Outro"</formula1>
      <formula2>0</formula2>
    </dataValidation>
    <dataValidation allowBlank="true" error="Escolha um valor da lista." errorStyle="stop" errorTitle="Valor fora da lista" operator="between" showDropDown="false" showErrorMessage="false" showInputMessage="false" sqref="L2:L301" type="list">
      <formula1>"Sim,Não"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6"/>
  </cols>
  <sheetData>
    <row r="1" customFormat="false" ht="16.15" hidden="false" customHeight="false" outlineLevel="0" collapsed="false">
      <c r="A1" s="13" t="s">
        <v>61</v>
      </c>
    </row>
    <row r="2" customFormat="false" ht="15" hidden="false" customHeight="false" outlineLevel="0" collapsed="false">
      <c r="A2" s="14" t="s">
        <v>62</v>
      </c>
      <c r="B2" s="15" t="n">
        <f aca="false">COUNTIF(Compromissos!S:S,"*Reserva a decidir*")</f>
        <v>0</v>
      </c>
    </row>
    <row r="3" customFormat="false" ht="15" hidden="false" customHeight="false" outlineLevel="0" collapsed="false">
      <c r="A3" s="14" t="s">
        <v>63</v>
      </c>
      <c r="B3" s="15" t="n">
        <f aca="false">COUNTIF(Compromissos!S:S,"*Ingresso não comprado*")</f>
        <v>0</v>
      </c>
    </row>
    <row r="4" customFormat="false" ht="15" hidden="false" customHeight="false" outlineLevel="0" collapsed="false">
      <c r="A4" s="14" t="s">
        <v>64</v>
      </c>
      <c r="B4" s="15" t="n">
        <f aca="false">COUNTIF(Compromissos!S:S,"*Reserva sem código*")</f>
        <v>0</v>
      </c>
    </row>
    <row r="5" customFormat="false" ht="15" hidden="false" customHeight="false" outlineLevel="0" collapsed="false">
      <c r="A5" s="14" t="s">
        <v>65</v>
      </c>
      <c r="B5" s="15" t="n">
        <f aca="false">COUNTIF(Compromissos!S:S,"*Fechado no dia*")</f>
        <v>0</v>
      </c>
    </row>
    <row r="6" customFormat="false" ht="15" hidden="false" customHeight="false" outlineLevel="0" collapsed="false">
      <c r="A6" s="14" t="s">
        <v>66</v>
      </c>
      <c r="B6" s="15" t="n">
        <f aca="false">COUNTIF(Compromissos!S:S,"*Antes de abrir*")+COUNTIF(Compromissos!S:S,"*Depois de fechar*")</f>
        <v>0</v>
      </c>
    </row>
    <row r="7" customFormat="false" ht="15" hidden="false" customHeight="false" outlineLevel="0" collapsed="false">
      <c r="A7" s="14" t="s">
        <v>67</v>
      </c>
      <c r="B7" s="15" t="n">
        <f aca="false">COUNTIF(Hospedagem!M2:M301,"?*")</f>
        <v>0</v>
      </c>
    </row>
    <row r="8" customFormat="false" ht="15" hidden="false" customHeight="false" outlineLevel="0" collapsed="false">
      <c r="A8" s="14" t="s">
        <v>68</v>
      </c>
      <c r="B8" s="15" t="n">
        <f aca="false">COUNTIF(Transporte!N2:N301,"?*")</f>
        <v>0</v>
      </c>
    </row>
    <row r="9" customFormat="false" ht="15" hidden="false" customHeight="false" outlineLevel="0" collapsed="false">
      <c r="A9" s="14" t="s">
        <v>69</v>
      </c>
      <c r="B9" s="15" t="n">
        <f aca="false">COUNTIF(Dias!F:F,"Dia sem programa")</f>
        <v>0</v>
      </c>
    </row>
    <row r="10" customFormat="false" ht="15" hidden="false" customHeight="false" outlineLevel="0" collapsed="false">
      <c r="A10" s="14" t="s">
        <v>70</v>
      </c>
      <c r="B10" s="15" t="n">
        <f aca="false">SUM(B2:B9)</f>
        <v>0</v>
      </c>
    </row>
    <row r="12" customFormat="false" ht="16.15" hidden="false" customHeight="false" outlineLevel="0" collapsed="false">
      <c r="A12" s="13" t="s">
        <v>71</v>
      </c>
    </row>
    <row r="13" customFormat="false" ht="15" hidden="false" customHeight="false" outlineLevel="0" collapsed="false">
      <c r="B13" s="16" t="s">
        <v>72</v>
      </c>
      <c r="C13" s="16" t="s">
        <v>44</v>
      </c>
      <c r="D13" s="16" t="s">
        <v>73</v>
      </c>
    </row>
    <row r="14" customFormat="false" ht="15" hidden="false" customHeight="false" outlineLevel="0" collapsed="false">
      <c r="A14" s="14" t="s">
        <v>8</v>
      </c>
      <c r="B14" s="17" t="n">
        <f aca="false">SUM(Compromissos!P:P)</f>
        <v>0</v>
      </c>
      <c r="C14" s="17" t="n">
        <f aca="false">SUMIF(Compromissos!Q:Q,"Sim",Compromissos!P:P)</f>
        <v>0</v>
      </c>
      <c r="D14" s="17" t="n">
        <f aca="false">B14-C14</f>
        <v>0</v>
      </c>
    </row>
    <row r="15" customFormat="false" ht="15" hidden="false" customHeight="false" outlineLevel="0" collapsed="false">
      <c r="A15" s="14" t="s">
        <v>18</v>
      </c>
      <c r="B15" s="17" t="n">
        <f aca="false">SUM(Hospedagem!J:J)</f>
        <v>0</v>
      </c>
      <c r="C15" s="17" t="n">
        <f aca="false">SUMIF(Hospedagem!K:K,"Sim",Hospedagem!J:J)</f>
        <v>0</v>
      </c>
      <c r="D15" s="17" t="n">
        <f aca="false">B15-C15</f>
        <v>0</v>
      </c>
    </row>
    <row r="16" customFormat="false" ht="15" hidden="false" customHeight="false" outlineLevel="0" collapsed="false">
      <c r="A16" s="14" t="s">
        <v>20</v>
      </c>
      <c r="B16" s="17" t="n">
        <f aca="false">SUM(Transporte!K:K)</f>
        <v>0</v>
      </c>
      <c r="C16" s="17" t="n">
        <f aca="false">SUMIF(Transporte!L:L,"Sim",Transporte!K:K)</f>
        <v>0</v>
      </c>
      <c r="D16" s="17" t="n">
        <f aca="false">B16-C16</f>
        <v>0</v>
      </c>
    </row>
    <row r="17" customFormat="false" ht="15" hidden="false" customHeight="false" outlineLevel="0" collapsed="false">
      <c r="A17" s="14" t="s">
        <v>72</v>
      </c>
      <c r="B17" s="17" t="n">
        <f aca="false">SUM(B14:B16)</f>
        <v>0</v>
      </c>
      <c r="C17" s="17" t="n">
        <f aca="false">SUM(C14:C16)</f>
        <v>0</v>
      </c>
      <c r="D17" s="17" t="n">
        <f aca="false">SUM(D14:D16)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2026-10-11T17:46:07Z</dcterms:created>
  <dc:creator>openpyxl</dc:creator>
  <dc:description/>
  <dc:language>en-US</dc:language>
  <cp:lastModifiedBy/>
  <dcterms:modified xsi:type="dcterms:W3CDTF">2026-10-11T17:46:08Z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